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kwonminjae/Desktop/"/>
    </mc:Choice>
  </mc:AlternateContent>
  <xr:revisionPtr revIDLastSave="0" documentId="8_{87B13A4C-910B-DF49-91BA-CA1AC07BD1E0}" xr6:coauthVersionLast="47" xr6:coauthVersionMax="47" xr10:uidLastSave="{00000000-0000-0000-0000-000000000000}"/>
  <bookViews>
    <workbookView xWindow="0" yWindow="620" windowWidth="21800" windowHeight="12980" activeTab="1" xr2:uid="{00000000-000D-0000-FFFF-FFFF00000000}"/>
  </bookViews>
  <sheets>
    <sheet name="Components for PCB_A" sheetId="8" r:id="rId1"/>
    <sheet name="Components for PCB_B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0" i="8" l="1"/>
  <c r="E162" i="8"/>
  <c r="E208" i="8"/>
  <c r="E209" i="8" s="1"/>
  <c r="E203" i="8"/>
  <c r="E202" i="8"/>
  <c r="E201" i="8"/>
  <c r="E200" i="8"/>
  <c r="E199" i="8"/>
  <c r="E198" i="8"/>
  <c r="E197" i="8"/>
  <c r="E196" i="8"/>
  <c r="E195" i="8"/>
  <c r="E204" i="8" s="1"/>
  <c r="E194" i="8"/>
  <c r="E189" i="8"/>
  <c r="E188" i="8"/>
  <c r="E187" i="8"/>
  <c r="E186" i="8"/>
  <c r="E185" i="8"/>
  <c r="E184" i="8"/>
  <c r="E183" i="8"/>
  <c r="E176" i="8"/>
  <c r="E175" i="8"/>
  <c r="E177" i="8" s="1"/>
  <c r="E170" i="8"/>
  <c r="E169" i="8"/>
  <c r="E168" i="8"/>
  <c r="E167" i="8"/>
  <c r="E166" i="8"/>
  <c r="E171" i="8" s="1"/>
  <c r="E161" i="8"/>
  <c r="E160" i="8"/>
  <c r="E159" i="8"/>
  <c r="E158" i="8"/>
  <c r="E157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208" i="6"/>
  <c r="E209" i="6" s="1"/>
  <c r="E204" i="6"/>
  <c r="E195" i="6"/>
  <c r="E196" i="6"/>
  <c r="E197" i="6"/>
  <c r="E198" i="6"/>
  <c r="E199" i="6"/>
  <c r="E200" i="6"/>
  <c r="E201" i="6"/>
  <c r="E202" i="6"/>
  <c r="E203" i="6"/>
  <c r="E194" i="6"/>
  <c r="E186" i="6"/>
  <c r="E187" i="6"/>
  <c r="E188" i="6"/>
  <c r="E189" i="6"/>
  <c r="E190" i="6"/>
  <c r="E184" i="6"/>
  <c r="E185" i="6"/>
  <c r="E183" i="6"/>
  <c r="E177" i="6"/>
  <c r="E176" i="6"/>
  <c r="E175" i="6"/>
  <c r="E171" i="6"/>
  <c r="E167" i="6"/>
  <c r="E168" i="6"/>
  <c r="E169" i="6"/>
  <c r="E170" i="6"/>
  <c r="E166" i="6"/>
  <c r="E153" i="6"/>
  <c r="E124" i="6"/>
  <c r="E158" i="6"/>
  <c r="E159" i="6"/>
  <c r="E160" i="6"/>
  <c r="E161" i="6"/>
  <c r="E157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28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5" i="6"/>
  <c r="E153" i="8" l="1"/>
  <c r="E124" i="8"/>
</calcChain>
</file>

<file path=xl/sharedStrings.xml><?xml version="1.0" encoding="utf-8"?>
<sst xmlns="http://schemas.openxmlformats.org/spreadsheetml/2006/main" count="700" uniqueCount="165">
  <si>
    <t>RESISTORS</t>
  </si>
  <si>
    <t>PATTERN / IMAGE</t>
  </si>
  <si>
    <t>QTY</t>
  </si>
  <si>
    <t>Cost Each</t>
  </si>
  <si>
    <t>0 ohm</t>
  </si>
  <si>
    <t>0805</t>
  </si>
  <si>
    <t>Capacitors</t>
  </si>
  <si>
    <t>PATTERN</t>
  </si>
  <si>
    <t>10pF COG 5% 50V</t>
  </si>
  <si>
    <t>15pF COG 5% 63V</t>
  </si>
  <si>
    <t>22pF COG 5% 63V</t>
  </si>
  <si>
    <t>33pF COG 5% 63V</t>
  </si>
  <si>
    <t>47pF COG 5% 63V</t>
  </si>
  <si>
    <t>68pF COG 5% 63V</t>
  </si>
  <si>
    <t>100pF COG 5% 50V</t>
  </si>
  <si>
    <t>150pF COG 5% 63V</t>
  </si>
  <si>
    <t>220pF COG 5% 63V</t>
  </si>
  <si>
    <t>330pF COG 5% 63V</t>
  </si>
  <si>
    <t>470pF COG 5% 63V</t>
  </si>
  <si>
    <t>680pF COG 5% 63V</t>
  </si>
  <si>
    <t>1nF X7R 10% 63V</t>
  </si>
  <si>
    <t>1.5nF X7R 10% 63V</t>
  </si>
  <si>
    <t>2.2nF X7R 10% 63V</t>
  </si>
  <si>
    <t>3.3nF X7R 10% 63V</t>
  </si>
  <si>
    <t>4.7nF X7R 10% 63V</t>
  </si>
  <si>
    <t>6.8nF X7R 10% 63V</t>
  </si>
  <si>
    <t>10nF  10% 50V</t>
  </si>
  <si>
    <t>15nF X7R 10% 63V</t>
  </si>
  <si>
    <t>100nF  10% 50V</t>
  </si>
  <si>
    <t>1uF  10% 50V</t>
  </si>
  <si>
    <t>10uF  10% 16V</t>
  </si>
  <si>
    <t>150uF 20% 16V</t>
  </si>
  <si>
    <t xml:space="preserve">http://www.farnell.com/datasheets/2151198.pdf   </t>
  </si>
  <si>
    <t>330uF 20% 16V</t>
  </si>
  <si>
    <t>https://www.farnell.com/datasheets/3486024.pdf</t>
  </si>
  <si>
    <t>Inductors</t>
  </si>
  <si>
    <t>Note : non-standard pattern</t>
  </si>
  <si>
    <r>
      <t>47uH 20% 0.25A 1</t>
    </r>
    <r>
      <rPr>
        <sz val="11"/>
        <color theme="1"/>
        <rFont val="Symbol"/>
        <family val="1"/>
        <charset val="2"/>
      </rPr>
      <t>W</t>
    </r>
  </si>
  <si>
    <t>https://www.we-online.com/katalog/datasheet/744031470.pdf</t>
  </si>
  <si>
    <r>
      <t>82uH 20% 0.59A 552m</t>
    </r>
    <r>
      <rPr>
        <sz val="11"/>
        <color theme="1"/>
        <rFont val="Symbol"/>
        <family val="1"/>
        <charset val="2"/>
      </rPr>
      <t>W</t>
    </r>
  </si>
  <si>
    <r>
      <t>150uH 20% 0.48A 905m</t>
    </r>
    <r>
      <rPr>
        <sz val="11"/>
        <color theme="1"/>
        <rFont val="Symbol"/>
        <family val="1"/>
        <charset val="2"/>
      </rPr>
      <t>W</t>
    </r>
  </si>
  <si>
    <r>
      <t>220uH 20% 0.37A 1.48</t>
    </r>
    <r>
      <rPr>
        <sz val="11"/>
        <color theme="1"/>
        <rFont val="Symbol"/>
        <family val="1"/>
        <charset val="2"/>
      </rPr>
      <t>W</t>
    </r>
  </si>
  <si>
    <r>
      <t>330uH 20% 0.32A 2.16</t>
    </r>
    <r>
      <rPr>
        <sz val="11"/>
        <color theme="1"/>
        <rFont val="Symbol"/>
        <family val="1"/>
        <charset val="2"/>
      </rPr>
      <t>W</t>
    </r>
  </si>
  <si>
    <t>Diodes</t>
  </si>
  <si>
    <t>1N4148</t>
  </si>
  <si>
    <t>SOD-123</t>
  </si>
  <si>
    <t>1N5819HW</t>
  </si>
  <si>
    <t>SD103AW-E3-08</t>
  </si>
  <si>
    <t>PMEG4010EGWX</t>
  </si>
  <si>
    <t>RS2B</t>
  </si>
  <si>
    <t>SMB</t>
  </si>
  <si>
    <t>LEDs</t>
  </si>
  <si>
    <t>LTST-C171KRKT</t>
  </si>
  <si>
    <t>LTST-C171KGKT</t>
  </si>
  <si>
    <t>TRANSISTORS</t>
  </si>
  <si>
    <t>BJT</t>
  </si>
  <si>
    <t>NPN</t>
  </si>
  <si>
    <t>BC817-40W</t>
  </si>
  <si>
    <t>SOT-323</t>
  </si>
  <si>
    <t>PNP</t>
  </si>
  <si>
    <t>BC807-40W</t>
  </si>
  <si>
    <t>MOSFET</t>
  </si>
  <si>
    <t>DMC3026LSD-13</t>
  </si>
  <si>
    <t>SOIC-8</t>
  </si>
  <si>
    <t>MC33063AD</t>
  </si>
  <si>
    <t>TL317CD</t>
  </si>
  <si>
    <t>UA723CD</t>
  </si>
  <si>
    <t>SOIC-14</t>
  </si>
  <si>
    <t>MC78M05CDTG</t>
  </si>
  <si>
    <t>TO-252-3</t>
  </si>
  <si>
    <t>MC78M12CDTG</t>
  </si>
  <si>
    <t>Header Pins</t>
  </si>
  <si>
    <t>6 contacts, 1 row</t>
  </si>
  <si>
    <t xml:space="preserve">1K   </t>
  </si>
  <si>
    <t xml:space="preserve">1K1   </t>
  </si>
  <si>
    <t xml:space="preserve">1K2   </t>
  </si>
  <si>
    <t xml:space="preserve">1K5   </t>
  </si>
  <si>
    <t xml:space="preserve">1K6   </t>
  </si>
  <si>
    <t xml:space="preserve">1K8   </t>
  </si>
  <si>
    <t xml:space="preserve">2K0   </t>
  </si>
  <si>
    <t xml:space="preserve">2K2   </t>
  </si>
  <si>
    <t xml:space="preserve">2K4   </t>
  </si>
  <si>
    <t xml:space="preserve">2K7   </t>
  </si>
  <si>
    <t xml:space="preserve">3K0   </t>
  </si>
  <si>
    <t xml:space="preserve">3K3   </t>
  </si>
  <si>
    <t xml:space="preserve">3K6   </t>
  </si>
  <si>
    <t xml:space="preserve">3K9   </t>
  </si>
  <si>
    <t xml:space="preserve">4K3   </t>
  </si>
  <si>
    <t xml:space="preserve">4K7   </t>
  </si>
  <si>
    <t xml:space="preserve">5K1   </t>
  </si>
  <si>
    <t xml:space="preserve">5K6   </t>
  </si>
  <si>
    <t xml:space="preserve">6K2   </t>
  </si>
  <si>
    <t xml:space="preserve">6K8   </t>
  </si>
  <si>
    <t xml:space="preserve">7K5   </t>
  </si>
  <si>
    <t xml:space="preserve">8K2   </t>
  </si>
  <si>
    <t xml:space="preserve">9K1   </t>
  </si>
  <si>
    <t xml:space="preserve">10K   </t>
  </si>
  <si>
    <t xml:space="preserve">11K   </t>
  </si>
  <si>
    <t xml:space="preserve">12K   </t>
  </si>
  <si>
    <t xml:space="preserve">15K   </t>
  </si>
  <si>
    <t xml:space="preserve">16K   </t>
  </si>
  <si>
    <t xml:space="preserve">18K   </t>
  </si>
  <si>
    <t xml:space="preserve">20K   </t>
  </si>
  <si>
    <t xml:space="preserve">22K   </t>
  </si>
  <si>
    <t xml:space="preserve">24K   </t>
  </si>
  <si>
    <t xml:space="preserve">27K   </t>
  </si>
  <si>
    <t xml:space="preserve">30K   </t>
  </si>
  <si>
    <t xml:space="preserve">33K   </t>
  </si>
  <si>
    <t xml:space="preserve">36K   </t>
  </si>
  <si>
    <t xml:space="preserve">39K   </t>
  </si>
  <si>
    <t xml:space="preserve">43K   </t>
  </si>
  <si>
    <t xml:space="preserve">47K   </t>
  </si>
  <si>
    <t xml:space="preserve">51K   </t>
  </si>
  <si>
    <t xml:space="preserve">56K   </t>
  </si>
  <si>
    <t xml:space="preserve">62K   </t>
  </si>
  <si>
    <t xml:space="preserve">68K   </t>
  </si>
  <si>
    <t xml:space="preserve">75K   </t>
  </si>
  <si>
    <t xml:space="preserve">82K   </t>
  </si>
  <si>
    <t xml:space="preserve">91K   </t>
  </si>
  <si>
    <t xml:space="preserve">100K   </t>
  </si>
  <si>
    <t xml:space="preserve">110K   </t>
  </si>
  <si>
    <t xml:space="preserve">120K   </t>
  </si>
  <si>
    <t xml:space="preserve">150K   </t>
  </si>
  <si>
    <t xml:space="preserve">160K   </t>
  </si>
  <si>
    <t xml:space="preserve">180K   </t>
  </si>
  <si>
    <t xml:space="preserve">200K   </t>
  </si>
  <si>
    <t xml:space="preserve">220K   </t>
  </si>
  <si>
    <t xml:space="preserve">240K   </t>
  </si>
  <si>
    <t xml:space="preserve">270K   </t>
  </si>
  <si>
    <t xml:space="preserve">300K   </t>
  </si>
  <si>
    <t xml:space="preserve">330K   </t>
  </si>
  <si>
    <t xml:space="preserve">360K   </t>
  </si>
  <si>
    <t xml:space="preserve">390K   </t>
  </si>
  <si>
    <t xml:space="preserve">430K   </t>
  </si>
  <si>
    <t xml:space="preserve">470K   </t>
  </si>
  <si>
    <t xml:space="preserve">510K   </t>
  </si>
  <si>
    <t xml:space="preserve">560K   </t>
  </si>
  <si>
    <t xml:space="preserve">620K   </t>
  </si>
  <si>
    <t xml:space="preserve">680K   </t>
  </si>
  <si>
    <t xml:space="preserve">750K   </t>
  </si>
  <si>
    <t xml:space="preserve">820K   </t>
  </si>
  <si>
    <t xml:space="preserve">910K   </t>
  </si>
  <si>
    <t xml:space="preserve">1M   </t>
  </si>
  <si>
    <t xml:space="preserve">1  </t>
  </si>
  <si>
    <t>0.2</t>
  </si>
  <si>
    <t>all values 125mW</t>
  </si>
  <si>
    <t>https://docs.rs-online.com/7e5b/0900766b81662b7e.pdf</t>
  </si>
  <si>
    <t>Duel N/P Channel</t>
  </si>
  <si>
    <t>UA741CDT</t>
  </si>
  <si>
    <t>TL071CDT</t>
  </si>
  <si>
    <t>PLEASE ONLY LIST REQUIRED COMPONENTS - DO NOT ADD SPARE PARTS.</t>
  </si>
  <si>
    <t>TO-263-3</t>
  </si>
  <si>
    <t>ICs</t>
  </si>
  <si>
    <t>TO-263-5</t>
  </si>
  <si>
    <t>Group Number:</t>
  </si>
  <si>
    <r>
      <t xml:space="preserve">Connector-header-6pos-2-54mm-1row  </t>
    </r>
    <r>
      <rPr>
        <u/>
        <sz val="11"/>
        <color rgb="FFFF0000"/>
        <rFont val="Calibri"/>
        <family val="2"/>
        <scheme val="minor"/>
      </rPr>
      <t xml:space="preserve"> note: can be broken into 3,4 or 5 pins NOT 2 pins</t>
    </r>
  </si>
  <si>
    <t>L7805CD2T</t>
  </si>
  <si>
    <t>L7812CD2T</t>
  </si>
  <si>
    <t>LM2596DSADJG</t>
  </si>
  <si>
    <t>1</t>
  </si>
  <si>
    <t>2</t>
  </si>
  <si>
    <t>5</t>
  </si>
  <si>
    <t>4</t>
  </si>
  <si>
    <t>Total Cost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</si>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</sst>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7"/>
      <color rgb="FF333333"/>
      <name val="Arial"/>
      <family val="2"/>
    </font>
    <font>
      <b/>
      <sz val="14"/>
      <color rgb="FF333333"/>
      <name val="Arial"/>
      <family val="2"/>
    </font>
    <font>
      <b/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/>
    <xf numFmtId="0" fontId="0" fillId="0" borderId="2" xfId="0" applyBorder="1"/>
    <xf numFmtId="0" fontId="1" fillId="0" borderId="3" xfId="0" applyFont="1" applyBorder="1"/>
    <xf numFmtId="49" fontId="1" fillId="0" borderId="3" xfId="0" applyNumberFormat="1" applyFont="1" applyBorder="1"/>
    <xf numFmtId="49" fontId="3" fillId="0" borderId="2" xfId="0" applyNumberFormat="1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5" fillId="0" borderId="6" xfId="1" applyBorder="1"/>
    <xf numFmtId="49" fontId="2" fillId="0" borderId="5" xfId="0" applyNumberFormat="1" applyFont="1" applyBorder="1"/>
    <xf numFmtId="49" fontId="3" fillId="0" borderId="4" xfId="0" applyNumberFormat="1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7" xfId="0" applyFont="1" applyBorder="1"/>
    <xf numFmtId="49" fontId="0" fillId="0" borderId="6" xfId="0" applyNumberFormat="1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7" fillId="0" borderId="4" xfId="0" applyFont="1" applyBorder="1"/>
    <xf numFmtId="0" fontId="5" fillId="0" borderId="1" xfId="1" applyBorder="1"/>
    <xf numFmtId="49" fontId="1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0" fillId="0" borderId="2" xfId="0" applyFont="1" applyBorder="1"/>
    <xf numFmtId="49" fontId="2" fillId="2" borderId="0" xfId="0" applyNumberFormat="1" applyFont="1" applyFill="1"/>
    <xf numFmtId="49" fontId="11" fillId="0" borderId="0" xfId="0" applyNumberFormat="1" applyFont="1"/>
    <xf numFmtId="2" fontId="0" fillId="0" borderId="0" xfId="0" applyNumberFormat="1"/>
    <xf numFmtId="2" fontId="0" fillId="0" borderId="1" xfId="0" applyNumberFormat="1" applyBorder="1"/>
    <xf numFmtId="2" fontId="0" fillId="0" borderId="5" xfId="0" applyNumberFormat="1" applyBorder="1"/>
    <xf numFmtId="2" fontId="0" fillId="0" borderId="4" xfId="0" applyNumberFormat="1" applyBorder="1"/>
    <xf numFmtId="2" fontId="1" fillId="0" borderId="1" xfId="0" applyNumberFormat="1" applyFont="1" applyBorder="1"/>
    <xf numFmtId="2" fontId="6" fillId="0" borderId="0" xfId="0" applyNumberFormat="1" applyFont="1"/>
    <xf numFmtId="2" fontId="1" fillId="0" borderId="8" xfId="0" applyNumberFormat="1" applyFont="1" applyBorder="1"/>
    <xf numFmtId="2" fontId="0" fillId="0" borderId="9" xfId="0" applyNumberFormat="1" applyBorder="1"/>
    <xf numFmtId="2" fontId="0" fillId="2" borderId="6" xfId="0" applyNumberFormat="1" applyFill="1" applyBorder="1"/>
    <xf numFmtId="2" fontId="0" fillId="2" borderId="1" xfId="0" applyNumberFormat="1" applyFill="1" applyBorder="1"/>
    <xf numFmtId="2" fontId="0" fillId="0" borderId="6" xfId="0" applyNumberFormat="1" applyBorder="1"/>
    <xf numFmtId="164" fontId="0" fillId="0" borderId="0" xfId="0" applyNumberFormat="1"/>
    <xf numFmtId="164" fontId="1" fillId="0" borderId="3" xfId="0" applyNumberFormat="1" applyFont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5" xfId="0" applyNumberFormat="1" applyBorder="1"/>
    <xf numFmtId="164" fontId="0" fillId="0" borderId="4" xfId="0" applyNumberFormat="1" applyBorder="1"/>
    <xf numFmtId="164" fontId="1" fillId="0" borderId="1" xfId="0" applyNumberFormat="1" applyFont="1" applyBorder="1"/>
    <xf numFmtId="164" fontId="6" fillId="0" borderId="0" xfId="0" applyNumberFormat="1" applyFont="1"/>
    <xf numFmtId="164" fontId="6" fillId="3" borderId="0" xfId="0" applyNumberFormat="1" applyFont="1" applyFill="1"/>
    <xf numFmtId="1" fontId="0" fillId="0" borderId="0" xfId="0" applyNumberFormat="1"/>
    <xf numFmtId="1" fontId="6" fillId="0" borderId="0" xfId="0" applyNumberFormat="1" applyFont="1"/>
    <xf numFmtId="1" fontId="1" fillId="0" borderId="8" xfId="0" applyNumberFormat="1" applyFont="1" applyBorder="1"/>
    <xf numFmtId="1" fontId="0" fillId="0" borderId="9" xfId="0" applyNumberFormat="1" applyBorder="1"/>
    <xf numFmtId="1" fontId="0" fillId="2" borderId="6" xfId="0" applyNumberFormat="1" applyFill="1" applyBorder="1"/>
    <xf numFmtId="1" fontId="0" fillId="0" borderId="5" xfId="0" applyNumberFormat="1" applyBorder="1"/>
    <xf numFmtId="1" fontId="0" fillId="0" borderId="4" xfId="0" applyNumberFormat="1" applyBorder="1"/>
    <xf numFmtId="1" fontId="0" fillId="2" borderId="1" xfId="0" applyNumberFormat="1" applyFill="1" applyBorder="1"/>
    <xf numFmtId="1" fontId="0" fillId="0" borderId="6" xfId="0" applyNumberFormat="1" applyBorder="1"/>
    <xf numFmtId="1" fontId="1" fillId="0" borderId="1" xfId="0" applyNumberFormat="1" applyFont="1" applyBorder="1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3505200</xdr:colOff>
      <xdr:row>150</xdr:row>
      <xdr:rowOff>19050</xdr:rowOff>
    </xdr:from>
    <xdr:to>
      <xdr:col>1</xdr:col>
      <xdr:colOff>3943350</xdr:colOff>
      <xdr:row>151</xdr:row>
      <xdr:rowOff>235010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B8A7E-8977-448B-AE10-85BBE22BC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38595300"/>
          <a:ext cx="438150" cy="473135"/>
        </a:xfrm>
        <a:prstGeom prst="rect">
          <a:avLst/>
        </a:prstGeom>
      </xdr:spPr>
    </xdr:pic>
    <xdr:clientData/>
  </xdr:twoCellAnchor>
  <xdr:twoCellAnchor editAs="oneCell">
    <xdr:from>
      <xdr:col>1</xdr:col>
      <xdr:colOff>3654425</xdr:colOff>
      <xdr:row>157</xdr:row>
      <xdr:rowOff>130175</xdr:rowOff>
    </xdr:from>
    <xdr:to>
      <xdr:col>1</xdr:col>
      <xdr:colOff>4451033</xdr:colOff>
      <xdr:row>159</xdr:row>
      <xdr:rowOff>152400</xdr:rowOff>
    </xdr:to>
    <xdr:pic>
      <xdr:nvPicPr>
        <xdr:cNvPr id="3" name="Picture 2" descr="BOURNS SRR4528A-470M">
          <a:extLst>
            <a:ext uri="{FF2B5EF4-FFF2-40B4-BE49-F238E27FC236}">
              <a16:creationId xmlns:a16="http://schemas.microsoft.com/office/drawing/2014/main" id="{53CD049A-F0F6-4848-AA3C-2AE34D708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40506650"/>
          <a:ext cx="796608" cy="53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2276475</xdr:colOff>
      <xdr:row>129</xdr:row>
      <xdr:rowOff>200025</xdr:rowOff>
    </xdr:from>
    <xdr:to>
      <xdr:col>1</xdr:col>
      <xdr:colOff>3096345</xdr:colOff>
      <xdr:row>132</xdr:row>
      <xdr:rowOff>82550</xdr:rowOff>
    </xdr:to>
    <xdr:pic>
      <xdr:nvPicPr>
        <xdr:cNvPr id="4" name="Picture 3" descr="Ceramic">
          <a:extLst>
            <a:ext uri="{FF2B5EF4-FFF2-40B4-BE49-F238E27FC236}">
              <a16:creationId xmlns:a16="http://schemas.microsoft.com/office/drawing/2014/main" id="{771C4936-1B0B-4556-8528-1DF5D3F5C95C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33375600"/>
          <a:ext cx="819870" cy="65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1581150</xdr:colOff>
      <xdr:row>168</xdr:row>
      <xdr:rowOff>95250</xdr:rowOff>
    </xdr:from>
    <xdr:to>
      <xdr:col>1</xdr:col>
      <xdr:colOff>2247900</xdr:colOff>
      <xdr:row>170</xdr:row>
      <xdr:rowOff>197206</xdr:rowOff>
    </xdr:to>
    <xdr:pic>
      <xdr:nvPicPr>
        <xdr:cNvPr id="5" name="Picture 4" descr="https://onecall.farnell.com/productimages/standard/en_GB/GESMADO214AC06-40.jpg">
          <a:extLst>
            <a:ext uri="{FF2B5EF4-FFF2-40B4-BE49-F238E27FC236}">
              <a16:creationId xmlns:a16="http://schemas.microsoft.com/office/drawing/2014/main" id="{CB8D05FB-89AE-4D55-A1BA-52C854C62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43300650"/>
          <a:ext cx="666750" cy="616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1411794</xdr:colOff>
      <xdr:row>181</xdr:row>
      <xdr:rowOff>200025</xdr:rowOff>
    </xdr:from>
    <xdr:to>
      <xdr:col>1</xdr:col>
      <xdr:colOff>2287142</xdr:colOff>
      <xdr:row>185</xdr:row>
      <xdr:rowOff>19050</xdr:rowOff>
    </xdr:to>
    <xdr:pic>
      <xdr:nvPicPr>
        <xdr:cNvPr id="6" name="Picture 5" descr="https://onecall.farnell.com/productimages/standard/en_GB/GE3SOT23-40.jpg">
          <a:extLst>
            <a:ext uri="{FF2B5EF4-FFF2-40B4-BE49-F238E27FC236}">
              <a16:creationId xmlns:a16="http://schemas.microsoft.com/office/drawing/2014/main" id="{2B182D2C-FDF5-452E-BD5E-B1A2C338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9169" y="46748700"/>
          <a:ext cx="875348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1676400</xdr:colOff>
      <xdr:row>198</xdr:row>
      <xdr:rowOff>6350</xdr:rowOff>
    </xdr:from>
    <xdr:to>
      <xdr:col>1</xdr:col>
      <xdr:colOff>2190750</xdr:colOff>
      <xdr:row>200</xdr:row>
      <xdr:rowOff>0</xdr:rowOff>
    </xdr:to>
    <xdr:pic>
      <xdr:nvPicPr>
        <xdr:cNvPr id="7" name="Picture 6" descr="https://onecall.farnell.com/productimages/standard/en_GB/GE3DPAK05-40.jpg">
          <a:extLst>
            <a:ext uri="{FF2B5EF4-FFF2-40B4-BE49-F238E27FC236}">
              <a16:creationId xmlns:a16="http://schemas.microsoft.com/office/drawing/2014/main" id="{88FA3F58-F74D-461E-B154-5FEEBAAD6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533775" y="50927000"/>
          <a:ext cx="51435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3657662</xdr:colOff>
      <xdr:row>193</xdr:row>
      <xdr:rowOff>238125</xdr:rowOff>
    </xdr:from>
    <xdr:to>
      <xdr:col>1</xdr:col>
      <xdr:colOff>4213224</xdr:colOff>
      <xdr:row>196</xdr:row>
      <xdr:rowOff>39245</xdr:rowOff>
    </xdr:to>
    <xdr:pic>
      <xdr:nvPicPr>
        <xdr:cNvPr id="8" name="Picture 7" descr="https://onecall.farnell.com/productimages/standard/en_GB/GE8SOICEPAD05-40.jpg">
          <a:extLst>
            <a:ext uri="{FF2B5EF4-FFF2-40B4-BE49-F238E27FC236}">
              <a16:creationId xmlns:a16="http://schemas.microsoft.com/office/drawing/2014/main" id="{884DBA36-2553-4A1D-882A-F4563C93F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515037" y="49872900"/>
          <a:ext cx="555562" cy="572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2646053</xdr:colOff>
      <xdr:row>196</xdr:row>
      <xdr:rowOff>184150</xdr:rowOff>
    </xdr:from>
    <xdr:to>
      <xdr:col>1</xdr:col>
      <xdr:colOff>3420057</xdr:colOff>
      <xdr:row>198</xdr:row>
      <xdr:rowOff>66675</xdr:rowOff>
    </xdr:to>
    <xdr:pic>
      <xdr:nvPicPr>
        <xdr:cNvPr id="9" name="Picture 8" descr="https://onecall.farnell.com/productimages/standard/en_GB/GE16SOIC-40.jpg">
          <a:extLst>
            <a:ext uri="{FF2B5EF4-FFF2-40B4-BE49-F238E27FC236}">
              <a16:creationId xmlns:a16="http://schemas.microsoft.com/office/drawing/2014/main" id="{1C8FD7D6-13F9-414D-B6A0-287A92C5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428" y="50590450"/>
          <a:ext cx="774004" cy="39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1457325</xdr:colOff>
      <xdr:row>173</xdr:row>
      <xdr:rowOff>247650</xdr:rowOff>
    </xdr:from>
    <xdr:to>
      <xdr:col>1</xdr:col>
      <xdr:colOff>2207578</xdr:colOff>
      <xdr:row>176</xdr:row>
      <xdr:rowOff>9525</xdr:rowOff>
    </xdr:to>
    <xdr:pic>
      <xdr:nvPicPr>
        <xdr:cNvPr id="10" name="Picture 9" descr="https://onecall.farnell.com/productimages/standard/en_US/75R0582-40.jpg">
          <a:extLst>
            <a:ext uri="{FF2B5EF4-FFF2-40B4-BE49-F238E27FC236}">
              <a16:creationId xmlns:a16="http://schemas.microsoft.com/office/drawing/2014/main" id="{A0CB8E9C-8B47-4AC0-8B59-8FD573230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4738925"/>
          <a:ext cx="750253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1301751</xdr:colOff>
      <xdr:row>165</xdr:row>
      <xdr:rowOff>139700</xdr:rowOff>
    </xdr:from>
    <xdr:ext cx="969288" cy="527050"/>
    <xdr:pic>
      <xdr:nvPicPr>
        <xdr:cNvPr id="11" name="Picture 10" descr="https://onecall.farnell.com/productimages/standard/en_US/5360693.jpg">
          <a:extLst>
            <a:ext uri="{FF2B5EF4-FFF2-40B4-BE49-F238E27FC236}">
              <a16:creationId xmlns:a16="http://schemas.microsoft.com/office/drawing/2014/main" id="{4872FE18-441E-45CF-869A-251F7C7BA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31869">
          <a:off x="3159126" y="42573575"/>
          <a:ext cx="969288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1849363</xdr:colOff>
      <xdr:row>7</xdr:row>
      <xdr:rowOff>133350</xdr:rowOff>
    </xdr:from>
    <xdr:ext cx="882952" cy="463550"/>
    <xdr:pic>
      <xdr:nvPicPr>
        <xdr:cNvPr id="12" name="Picture 11" descr="https://onecall.farnell.com/productimages/standard/en_GB/ROYALTHICKFILM-40.jpg">
          <a:extLst>
            <a:ext uri="{FF2B5EF4-FFF2-40B4-BE49-F238E27FC236}">
              <a16:creationId xmlns:a16="http://schemas.microsoft.com/office/drawing/2014/main" id="{16A24A3A-64E8-4574-AD6E-86F8EB719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6738" y="1933575"/>
          <a:ext cx="882952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2320925</xdr:colOff>
      <xdr:row>204</xdr:row>
      <xdr:rowOff>123825</xdr:rowOff>
    </xdr:from>
    <xdr:to>
      <xdr:col>1</xdr:col>
      <xdr:colOff>3059684</xdr:colOff>
      <xdr:row>207</xdr:row>
      <xdr:rowOff>76200</xdr:rowOff>
    </xdr:to>
    <xdr:pic>
      <xdr:nvPicPr>
        <xdr:cNvPr id="13" name="Picture 12" descr="https://onecall.farnell.com/productimages/standard/en_GB/2984587-40.jpg">
          <a:extLst>
            <a:ext uri="{FF2B5EF4-FFF2-40B4-BE49-F238E27FC236}">
              <a16:creationId xmlns:a16="http://schemas.microsoft.com/office/drawing/2014/main" id="{40F4C04D-CD6A-4341-A9E9-0A2BC7884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52587525"/>
          <a:ext cx="738759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1809750</xdr:colOff>
      <xdr:row>187</xdr:row>
      <xdr:rowOff>180975</xdr:rowOff>
    </xdr:from>
    <xdr:to>
      <xdr:col>1</xdr:col>
      <xdr:colOff>2365312</xdr:colOff>
      <xdr:row>189</xdr:row>
      <xdr:rowOff>239270</xdr:rowOff>
    </xdr:to>
    <xdr:pic>
      <xdr:nvPicPr>
        <xdr:cNvPr id="14" name="Picture 13" descr="https://onecall.farnell.com/productimages/standard/en_GB/GE8SOICEPAD05-40.jpg">
          <a:extLst>
            <a:ext uri="{FF2B5EF4-FFF2-40B4-BE49-F238E27FC236}">
              <a16:creationId xmlns:a16="http://schemas.microsoft.com/office/drawing/2014/main" id="{34B30255-C882-4009-BAA8-C09CAFF42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667125" y="48272700"/>
          <a:ext cx="555562" cy="572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1562100</xdr:colOff>
      <xdr:row>201</xdr:row>
      <xdr:rowOff>209743</xdr:rowOff>
    </xdr:from>
    <xdr:to>
      <xdr:col>1</xdr:col>
      <xdr:colOff>2077236</xdr:colOff>
      <xdr:row>203</xdr:row>
      <xdr:rowOff>153098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41EDFE-3EAD-4883-9B7A-5C04B8990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19475" y="51901918"/>
          <a:ext cx="515136" cy="457705"/>
        </a:xfrm>
        <a:prstGeom prst="rect">
          <a:avLst/>
        </a:prstGeom>
      </xdr:spPr>
    </xdr:pic>
    <xdr:clientData/>
  </xdr:twoCellAnchor>
  <xdr:twoCellAnchor editAs="oneCell">
    <xdr:from>
      <xdr:col>1</xdr:col>
      <xdr:colOff>2808351</xdr:colOff>
      <xdr:row>200</xdr:row>
      <xdr:rowOff>9524</xdr:rowOff>
    </xdr:from>
    <xdr:to>
      <xdr:col>1</xdr:col>
      <xdr:colOff>3286680</xdr:colOff>
      <xdr:row>201</xdr:row>
      <xdr:rowOff>238688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C9DE31C-1008-43F7-8339-F163A293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65726" y="51444524"/>
          <a:ext cx="478329" cy="486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3505200</xdr:colOff>
      <xdr:row>150</xdr:row>
      <xdr:rowOff>19050</xdr:rowOff>
    </xdr:from>
    <xdr:to>
      <xdr:col>1</xdr:col>
      <xdr:colOff>3943350</xdr:colOff>
      <xdr:row>151</xdr:row>
      <xdr:rowOff>235010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A4F0A-3E0E-46A4-9327-6F941AE8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38595300"/>
          <a:ext cx="438150" cy="473135"/>
        </a:xfrm>
        <a:prstGeom prst="rect">
          <a:avLst/>
        </a:prstGeom>
      </xdr:spPr>
    </xdr:pic>
    <xdr:clientData/>
  </xdr:twoCellAnchor>
  <xdr:twoCellAnchor editAs="oneCell">
    <xdr:from>
      <xdr:col>1</xdr:col>
      <xdr:colOff>3654425</xdr:colOff>
      <xdr:row>157</xdr:row>
      <xdr:rowOff>130175</xdr:rowOff>
    </xdr:from>
    <xdr:to>
      <xdr:col>1</xdr:col>
      <xdr:colOff>4451033</xdr:colOff>
      <xdr:row>159</xdr:row>
      <xdr:rowOff>152400</xdr:rowOff>
    </xdr:to>
    <xdr:pic>
      <xdr:nvPicPr>
        <xdr:cNvPr id="3" name="Picture 2" descr="BOURNS SRR4528A-470M">
          <a:extLst>
            <a:ext uri="{FF2B5EF4-FFF2-40B4-BE49-F238E27FC236}">
              <a16:creationId xmlns:a16="http://schemas.microsoft.com/office/drawing/2014/main" id="{ECCA6D6B-E529-4740-A5CC-529554BA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7975" y="40506650"/>
          <a:ext cx="796608" cy="53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2276475</xdr:colOff>
      <xdr:row>129</xdr:row>
      <xdr:rowOff>200025</xdr:rowOff>
    </xdr:from>
    <xdr:to>
      <xdr:col>1</xdr:col>
      <xdr:colOff>3096345</xdr:colOff>
      <xdr:row>132</xdr:row>
      <xdr:rowOff>82550</xdr:rowOff>
    </xdr:to>
    <xdr:pic>
      <xdr:nvPicPr>
        <xdr:cNvPr id="4" name="Picture 3" descr="Ceramic">
          <a:extLst>
            <a:ext uri="{FF2B5EF4-FFF2-40B4-BE49-F238E27FC236}">
              <a16:creationId xmlns:a16="http://schemas.microsoft.com/office/drawing/2014/main" id="{2A1E708F-658B-419E-8390-499549F160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33375600"/>
          <a:ext cx="819870" cy="65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1581150</xdr:colOff>
      <xdr:row>168</xdr:row>
      <xdr:rowOff>95250</xdr:rowOff>
    </xdr:from>
    <xdr:to>
      <xdr:col>1</xdr:col>
      <xdr:colOff>2247900</xdr:colOff>
      <xdr:row>170</xdr:row>
      <xdr:rowOff>197206</xdr:rowOff>
    </xdr:to>
    <xdr:pic>
      <xdr:nvPicPr>
        <xdr:cNvPr id="5" name="Picture 4" descr="https://onecall.farnell.com/productimages/standard/en_GB/GESMADO214AC06-40.jpg">
          <a:extLst>
            <a:ext uri="{FF2B5EF4-FFF2-40B4-BE49-F238E27FC236}">
              <a16:creationId xmlns:a16="http://schemas.microsoft.com/office/drawing/2014/main" id="{D59E8957-6947-4927-BD17-9CA5434DD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3300650"/>
          <a:ext cx="666750" cy="616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1411794</xdr:colOff>
      <xdr:row>181</xdr:row>
      <xdr:rowOff>200025</xdr:rowOff>
    </xdr:from>
    <xdr:to>
      <xdr:col>1</xdr:col>
      <xdr:colOff>2287142</xdr:colOff>
      <xdr:row>185</xdr:row>
      <xdr:rowOff>19050</xdr:rowOff>
    </xdr:to>
    <xdr:pic>
      <xdr:nvPicPr>
        <xdr:cNvPr id="6" name="Picture 5" descr="https://onecall.farnell.com/productimages/standard/en_GB/GE3SOT23-40.jpg">
          <a:extLst>
            <a:ext uri="{FF2B5EF4-FFF2-40B4-BE49-F238E27FC236}">
              <a16:creationId xmlns:a16="http://schemas.microsoft.com/office/drawing/2014/main" id="{077F519D-74F3-47C2-9AD4-969CABC7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5344" y="46748700"/>
          <a:ext cx="875348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1676400</xdr:colOff>
      <xdr:row>198</xdr:row>
      <xdr:rowOff>6350</xdr:rowOff>
    </xdr:from>
    <xdr:to>
      <xdr:col>1</xdr:col>
      <xdr:colOff>2190750</xdr:colOff>
      <xdr:row>200</xdr:row>
      <xdr:rowOff>0</xdr:rowOff>
    </xdr:to>
    <xdr:pic>
      <xdr:nvPicPr>
        <xdr:cNvPr id="7" name="Picture 6" descr="https://onecall.farnell.com/productimages/standard/en_GB/GE3DPAK05-40.jpg">
          <a:extLst>
            <a:ext uri="{FF2B5EF4-FFF2-40B4-BE49-F238E27FC236}">
              <a16:creationId xmlns:a16="http://schemas.microsoft.com/office/drawing/2014/main" id="{6954E43D-7352-4109-844E-6E2F2AF68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409950" y="50927000"/>
          <a:ext cx="51435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3657662</xdr:colOff>
      <xdr:row>193</xdr:row>
      <xdr:rowOff>238125</xdr:rowOff>
    </xdr:from>
    <xdr:to>
      <xdr:col>1</xdr:col>
      <xdr:colOff>4213224</xdr:colOff>
      <xdr:row>196</xdr:row>
      <xdr:rowOff>39245</xdr:rowOff>
    </xdr:to>
    <xdr:pic>
      <xdr:nvPicPr>
        <xdr:cNvPr id="8" name="Picture 7" descr="https://onecall.farnell.com/productimages/standard/en_GB/GE8SOICEPAD05-40.jpg">
          <a:extLst>
            <a:ext uri="{FF2B5EF4-FFF2-40B4-BE49-F238E27FC236}">
              <a16:creationId xmlns:a16="http://schemas.microsoft.com/office/drawing/2014/main" id="{AB4A08A3-1243-4978-B04F-BA749A83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391212" y="49872900"/>
          <a:ext cx="555562" cy="572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2646053</xdr:colOff>
      <xdr:row>196</xdr:row>
      <xdr:rowOff>184150</xdr:rowOff>
    </xdr:from>
    <xdr:to>
      <xdr:col>1</xdr:col>
      <xdr:colOff>3420057</xdr:colOff>
      <xdr:row>198</xdr:row>
      <xdr:rowOff>66675</xdr:rowOff>
    </xdr:to>
    <xdr:pic>
      <xdr:nvPicPr>
        <xdr:cNvPr id="9" name="Picture 8" descr="https://onecall.farnell.com/productimages/standard/en_GB/GE16SOIC-40.jpg">
          <a:extLst>
            <a:ext uri="{FF2B5EF4-FFF2-40B4-BE49-F238E27FC236}">
              <a16:creationId xmlns:a16="http://schemas.microsoft.com/office/drawing/2014/main" id="{52FD7D69-CFA1-4519-845D-43E17352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9603" y="50590450"/>
          <a:ext cx="774004" cy="39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1457325</xdr:colOff>
      <xdr:row>173</xdr:row>
      <xdr:rowOff>247650</xdr:rowOff>
    </xdr:from>
    <xdr:to>
      <xdr:col>1</xdr:col>
      <xdr:colOff>2207578</xdr:colOff>
      <xdr:row>176</xdr:row>
      <xdr:rowOff>9525</xdr:rowOff>
    </xdr:to>
    <xdr:pic>
      <xdr:nvPicPr>
        <xdr:cNvPr id="10" name="Picture 9" descr="https://onecall.farnell.com/productimages/standard/en_US/75R0582-40.jpg">
          <a:extLst>
            <a:ext uri="{FF2B5EF4-FFF2-40B4-BE49-F238E27FC236}">
              <a16:creationId xmlns:a16="http://schemas.microsoft.com/office/drawing/2014/main" id="{45E0A1F3-BDB4-475B-A4D7-C2FBC1AA6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44738925"/>
          <a:ext cx="750253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1301751</xdr:colOff>
      <xdr:row>165</xdr:row>
      <xdr:rowOff>139700</xdr:rowOff>
    </xdr:from>
    <xdr:ext cx="969288" cy="527050"/>
    <xdr:pic>
      <xdr:nvPicPr>
        <xdr:cNvPr id="11" name="Picture 10" descr="https://onecall.farnell.com/productimages/standard/en_US/5360693.jpg">
          <a:extLst>
            <a:ext uri="{FF2B5EF4-FFF2-40B4-BE49-F238E27FC236}">
              <a16:creationId xmlns:a16="http://schemas.microsoft.com/office/drawing/2014/main" id="{3083CD58-A023-44C5-8757-948E99026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31869">
          <a:off x="3035301" y="42573575"/>
          <a:ext cx="969288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1849363</xdr:colOff>
      <xdr:row>7</xdr:row>
      <xdr:rowOff>133350</xdr:rowOff>
    </xdr:from>
    <xdr:ext cx="882952" cy="463550"/>
    <xdr:pic>
      <xdr:nvPicPr>
        <xdr:cNvPr id="12" name="Picture 11" descr="https://onecall.farnell.com/productimages/standard/en_GB/ROYALTHICKFILM-40.jpg">
          <a:extLst>
            <a:ext uri="{FF2B5EF4-FFF2-40B4-BE49-F238E27FC236}">
              <a16:creationId xmlns:a16="http://schemas.microsoft.com/office/drawing/2014/main" id="{2D5F45DF-F67C-41EC-972E-2F66B831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2913" y="1933575"/>
          <a:ext cx="882952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2320925</xdr:colOff>
      <xdr:row>204</xdr:row>
      <xdr:rowOff>123825</xdr:rowOff>
    </xdr:from>
    <xdr:to>
      <xdr:col>1</xdr:col>
      <xdr:colOff>3059684</xdr:colOff>
      <xdr:row>207</xdr:row>
      <xdr:rowOff>76200</xdr:rowOff>
    </xdr:to>
    <xdr:pic>
      <xdr:nvPicPr>
        <xdr:cNvPr id="13" name="Picture 12" descr="https://onecall.farnell.com/productimages/standard/en_GB/2984587-40.jpg">
          <a:extLst>
            <a:ext uri="{FF2B5EF4-FFF2-40B4-BE49-F238E27FC236}">
              <a16:creationId xmlns:a16="http://schemas.microsoft.com/office/drawing/2014/main" id="{F915B0BB-51FC-401E-90BE-665873D5D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4475" y="52587525"/>
          <a:ext cx="738759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1809750</xdr:colOff>
      <xdr:row>187</xdr:row>
      <xdr:rowOff>180975</xdr:rowOff>
    </xdr:from>
    <xdr:to>
      <xdr:col>1</xdr:col>
      <xdr:colOff>2365312</xdr:colOff>
      <xdr:row>189</xdr:row>
      <xdr:rowOff>239270</xdr:rowOff>
    </xdr:to>
    <xdr:pic>
      <xdr:nvPicPr>
        <xdr:cNvPr id="14" name="Picture 13" descr="https://onecall.farnell.com/productimages/standard/en_GB/GE8SOICEPAD05-40.jpg">
          <a:extLst>
            <a:ext uri="{FF2B5EF4-FFF2-40B4-BE49-F238E27FC236}">
              <a16:creationId xmlns:a16="http://schemas.microsoft.com/office/drawing/2014/main" id="{91C0E422-B569-418A-A29D-B5D253491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543300" y="48272700"/>
          <a:ext cx="555562" cy="572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1562100</xdr:colOff>
      <xdr:row>201</xdr:row>
      <xdr:rowOff>209743</xdr:rowOff>
    </xdr:from>
    <xdr:to>
      <xdr:col>1</xdr:col>
      <xdr:colOff>2077236</xdr:colOff>
      <xdr:row>203</xdr:row>
      <xdr:rowOff>153098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386B53-402D-4EF4-A730-AF94DBA3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95650" y="51901918"/>
          <a:ext cx="515136" cy="457705"/>
        </a:xfrm>
        <a:prstGeom prst="rect">
          <a:avLst/>
        </a:prstGeom>
      </xdr:spPr>
    </xdr:pic>
    <xdr:clientData/>
  </xdr:twoCellAnchor>
  <xdr:twoCellAnchor editAs="oneCell">
    <xdr:from>
      <xdr:col>1</xdr:col>
      <xdr:colOff>2808351</xdr:colOff>
      <xdr:row>200</xdr:row>
      <xdr:rowOff>9524</xdr:rowOff>
    </xdr:from>
    <xdr:to>
      <xdr:col>1</xdr:col>
      <xdr:colOff>3286680</xdr:colOff>
      <xdr:row>201</xdr:row>
      <xdr:rowOff>238688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549C826-6E25-4474-97A7-F6C08E498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41901" y="51444524"/>
          <a:ext cx="478329" cy="486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-online.com/katalog/datasheet/744031470.pdf" TargetMode="External"/><Relationship Id="rId2" Type="http://schemas.openxmlformats.org/officeDocument/2006/relationships/hyperlink" Target="https://www.farnell.com/datasheets/3486024.pdf" TargetMode="External"/><Relationship Id="rId1" Type="http://schemas.openxmlformats.org/officeDocument/2006/relationships/hyperlink" Target="http://www.farnell.com/datasheets/2151198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necall.farnell.com/harwin/m20-8770646/connector-header-6pos-2-54mm-1row/dp/322597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-online.com/katalog/datasheet/744031470.pdf" TargetMode="External"/><Relationship Id="rId2" Type="http://schemas.openxmlformats.org/officeDocument/2006/relationships/hyperlink" Target="https://www.farnell.com/datasheets/3486024.pdf" TargetMode="External"/><Relationship Id="rId1" Type="http://schemas.openxmlformats.org/officeDocument/2006/relationships/hyperlink" Target="http://www.farnell.com/datasheets/2151198.pdf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onecall.farnell.com/harwin/m20-8770646/connector-header-6pos-2-54mm-1row/dp/3225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3D9C-F13F-41E7-A0A1-F181412725AF}">
  <dimension ref="A1:K211"/>
  <sheetViews>
    <sheetView topLeftCell="A206" zoomScaleNormal="100" workbookViewId="0">
      <selection activeCell="E212" sqref="E212"/>
    </sheetView>
  </sheetViews>
  <sheetFormatPr baseColWidth="10" defaultColWidth="9.1640625" defaultRowHeight="20.5" customHeight="1" x14ac:dyDescent="0.2"/>
  <cols>
    <col min="1" max="1" width="26" style="1" customWidth="1"/>
    <col min="2" max="2" width="78.83203125" style="1" customWidth="1"/>
    <col min="3" max="3" width="10.83203125" style="55" customWidth="1"/>
    <col min="4" max="4" width="12.1640625" style="46" customWidth="1"/>
    <col min="5" max="5" width="13.6640625" style="46" customWidth="1"/>
    <col min="6" max="7" width="16.1640625" style="30" customWidth="1"/>
    <col min="9" max="16384" width="9.1640625" style="1"/>
  </cols>
  <sheetData>
    <row r="1" spans="1:5" ht="20.5" customHeight="1" x14ac:dyDescent="0.25">
      <c r="A1" s="33" t="s">
        <v>154</v>
      </c>
      <c r="B1" s="34" t="s">
        <v>150</v>
      </c>
    </row>
    <row r="2" spans="1:5" ht="20.5" customHeight="1" x14ac:dyDescent="0.2">
      <c r="C2" s="56"/>
    </row>
    <row r="3" spans="1:5" ht="20.5" customHeight="1" x14ac:dyDescent="0.25">
      <c r="A3" s="6" t="s">
        <v>0</v>
      </c>
      <c r="B3" s="12" t="s">
        <v>1</v>
      </c>
      <c r="C3" s="57" t="s">
        <v>2</v>
      </c>
      <c r="D3" s="47" t="s">
        <v>3</v>
      </c>
      <c r="E3" s="47" t="s">
        <v>163</v>
      </c>
    </row>
    <row r="4" spans="1:5" ht="20.5" customHeight="1" x14ac:dyDescent="0.25">
      <c r="A4" s="32" t="s">
        <v>145</v>
      </c>
      <c r="B4" s="13"/>
      <c r="C4" s="58"/>
      <c r="D4" s="48"/>
    </row>
    <row r="5" spans="1:5" ht="20.5" customHeight="1" x14ac:dyDescent="0.2">
      <c r="A5" s="24" t="s">
        <v>4</v>
      </c>
      <c r="B5" s="14" t="s">
        <v>5</v>
      </c>
      <c r="C5" s="59"/>
      <c r="D5" s="49">
        <v>0.01</v>
      </c>
      <c r="E5" s="46">
        <f>C5*D5</f>
        <v>0</v>
      </c>
    </row>
    <row r="6" spans="1:5" ht="20.5" customHeight="1" x14ac:dyDescent="0.2">
      <c r="A6" s="31" t="s">
        <v>144</v>
      </c>
      <c r="B6" s="14" t="s">
        <v>5</v>
      </c>
      <c r="C6" s="59">
        <v>2</v>
      </c>
      <c r="D6" s="49">
        <v>0.01</v>
      </c>
      <c r="E6" s="46">
        <f t="shared" ref="E6:E69" si="0">C6*D6</f>
        <v>0.02</v>
      </c>
    </row>
    <row r="7" spans="1:5" ht="20.5" customHeight="1" x14ac:dyDescent="0.2">
      <c r="A7" s="31" t="s">
        <v>143</v>
      </c>
      <c r="B7" s="14" t="s">
        <v>5</v>
      </c>
      <c r="C7" s="59"/>
      <c r="D7" s="49">
        <v>0.01</v>
      </c>
      <c r="E7" s="46">
        <f t="shared" si="0"/>
        <v>0</v>
      </c>
    </row>
    <row r="8" spans="1:5" ht="20.5" customHeight="1" x14ac:dyDescent="0.2">
      <c r="A8" s="24">
        <v>10</v>
      </c>
      <c r="B8" s="14" t="s">
        <v>5</v>
      </c>
      <c r="C8" s="59"/>
      <c r="D8" s="49">
        <v>0.01</v>
      </c>
      <c r="E8" s="46">
        <f t="shared" si="0"/>
        <v>0</v>
      </c>
    </row>
    <row r="9" spans="1:5" ht="20.5" customHeight="1" x14ac:dyDescent="0.2">
      <c r="A9" s="24">
        <v>11</v>
      </c>
      <c r="B9" s="14" t="s">
        <v>5</v>
      </c>
      <c r="C9" s="59"/>
      <c r="D9" s="49">
        <v>0.01</v>
      </c>
      <c r="E9" s="46">
        <f t="shared" si="0"/>
        <v>0</v>
      </c>
    </row>
    <row r="10" spans="1:5" ht="20.5" customHeight="1" x14ac:dyDescent="0.2">
      <c r="A10" s="24">
        <v>12</v>
      </c>
      <c r="B10" s="14" t="s">
        <v>5</v>
      </c>
      <c r="C10" s="59"/>
      <c r="D10" s="49">
        <v>0.01</v>
      </c>
      <c r="E10" s="46">
        <f t="shared" si="0"/>
        <v>0</v>
      </c>
    </row>
    <row r="11" spans="1:5" ht="20.5" customHeight="1" x14ac:dyDescent="0.2">
      <c r="A11" s="24">
        <v>15</v>
      </c>
      <c r="B11" s="14" t="s">
        <v>5</v>
      </c>
      <c r="C11" s="59"/>
      <c r="D11" s="49">
        <v>0.01</v>
      </c>
      <c r="E11" s="46">
        <f t="shared" si="0"/>
        <v>0</v>
      </c>
    </row>
    <row r="12" spans="1:5" ht="20.5" customHeight="1" x14ac:dyDescent="0.2">
      <c r="A12" s="24">
        <v>16</v>
      </c>
      <c r="B12" s="14" t="s">
        <v>5</v>
      </c>
      <c r="C12" s="59"/>
      <c r="D12" s="49">
        <v>0.01</v>
      </c>
      <c r="E12" s="46">
        <f t="shared" si="0"/>
        <v>0</v>
      </c>
    </row>
    <row r="13" spans="1:5" ht="20.5" customHeight="1" x14ac:dyDescent="0.2">
      <c r="A13" s="24">
        <v>18</v>
      </c>
      <c r="B13" s="14" t="s">
        <v>5</v>
      </c>
      <c r="C13" s="59"/>
      <c r="D13" s="49">
        <v>0.01</v>
      </c>
      <c r="E13" s="46">
        <f t="shared" si="0"/>
        <v>0</v>
      </c>
    </row>
    <row r="14" spans="1:5" ht="20.5" customHeight="1" x14ac:dyDescent="0.2">
      <c r="A14" s="24">
        <v>20</v>
      </c>
      <c r="B14" s="14" t="s">
        <v>5</v>
      </c>
      <c r="C14" s="59"/>
      <c r="D14" s="49">
        <v>0.01</v>
      </c>
      <c r="E14" s="46">
        <f t="shared" si="0"/>
        <v>0</v>
      </c>
    </row>
    <row r="15" spans="1:5" ht="20.5" customHeight="1" x14ac:dyDescent="0.2">
      <c r="A15" s="24">
        <v>22</v>
      </c>
      <c r="B15" s="14" t="s">
        <v>5</v>
      </c>
      <c r="C15" s="59">
        <v>2</v>
      </c>
      <c r="D15" s="49">
        <v>0.01</v>
      </c>
      <c r="E15" s="46">
        <f t="shared" si="0"/>
        <v>0.02</v>
      </c>
    </row>
    <row r="16" spans="1:5" ht="20.5" customHeight="1" x14ac:dyDescent="0.2">
      <c r="A16" s="24">
        <v>24</v>
      </c>
      <c r="B16" s="14" t="s">
        <v>5</v>
      </c>
      <c r="C16" s="59"/>
      <c r="D16" s="49">
        <v>0.01</v>
      </c>
      <c r="E16" s="46">
        <f t="shared" si="0"/>
        <v>0</v>
      </c>
    </row>
    <row r="17" spans="1:5" ht="20.5" customHeight="1" x14ac:dyDescent="0.2">
      <c r="A17" s="24">
        <v>27</v>
      </c>
      <c r="B17" s="14" t="s">
        <v>5</v>
      </c>
      <c r="C17" s="59"/>
      <c r="D17" s="49">
        <v>0.01</v>
      </c>
      <c r="E17" s="46">
        <f t="shared" si="0"/>
        <v>0</v>
      </c>
    </row>
    <row r="18" spans="1:5" ht="20.5" customHeight="1" x14ac:dyDescent="0.2">
      <c r="A18" s="24">
        <v>30</v>
      </c>
      <c r="B18" s="14" t="s">
        <v>5</v>
      </c>
      <c r="C18" s="59"/>
      <c r="D18" s="49">
        <v>0.01</v>
      </c>
      <c r="E18" s="46">
        <f t="shared" si="0"/>
        <v>0</v>
      </c>
    </row>
    <row r="19" spans="1:5" ht="20.5" customHeight="1" x14ac:dyDescent="0.2">
      <c r="A19" s="24">
        <v>33</v>
      </c>
      <c r="B19" s="14" t="s">
        <v>5</v>
      </c>
      <c r="C19" s="59"/>
      <c r="D19" s="49">
        <v>0.01</v>
      </c>
      <c r="E19" s="46">
        <f t="shared" si="0"/>
        <v>0</v>
      </c>
    </row>
    <row r="20" spans="1:5" ht="20.5" customHeight="1" x14ac:dyDescent="0.2">
      <c r="A20" s="24">
        <v>36</v>
      </c>
      <c r="B20" s="14" t="s">
        <v>5</v>
      </c>
      <c r="C20" s="59"/>
      <c r="D20" s="49">
        <v>0.01</v>
      </c>
      <c r="E20" s="46">
        <f t="shared" si="0"/>
        <v>0</v>
      </c>
    </row>
    <row r="21" spans="1:5" ht="20.5" customHeight="1" x14ac:dyDescent="0.2">
      <c r="A21" s="24">
        <v>39</v>
      </c>
      <c r="B21" s="14" t="s">
        <v>5</v>
      </c>
      <c r="C21" s="59"/>
      <c r="D21" s="49">
        <v>0.01</v>
      </c>
      <c r="E21" s="46">
        <f t="shared" si="0"/>
        <v>0</v>
      </c>
    </row>
    <row r="22" spans="1:5" ht="20.5" customHeight="1" x14ac:dyDescent="0.2">
      <c r="A22" s="24">
        <v>43</v>
      </c>
      <c r="B22" s="14" t="s">
        <v>5</v>
      </c>
      <c r="C22" s="59"/>
      <c r="D22" s="49">
        <v>0.01</v>
      </c>
      <c r="E22" s="46">
        <f t="shared" si="0"/>
        <v>0</v>
      </c>
    </row>
    <row r="23" spans="1:5" ht="20.5" customHeight="1" x14ac:dyDescent="0.2">
      <c r="A23" s="24">
        <v>47</v>
      </c>
      <c r="B23" s="14" t="s">
        <v>5</v>
      </c>
      <c r="C23" s="59"/>
      <c r="D23" s="49">
        <v>0.01</v>
      </c>
      <c r="E23" s="46">
        <f t="shared" si="0"/>
        <v>0</v>
      </c>
    </row>
    <row r="24" spans="1:5" ht="20.5" customHeight="1" x14ac:dyDescent="0.2">
      <c r="A24" s="24">
        <v>51</v>
      </c>
      <c r="B24" s="14" t="s">
        <v>5</v>
      </c>
      <c r="C24" s="59"/>
      <c r="D24" s="49">
        <v>0.01</v>
      </c>
      <c r="E24" s="46">
        <f t="shared" si="0"/>
        <v>0</v>
      </c>
    </row>
    <row r="25" spans="1:5" ht="20.5" customHeight="1" x14ac:dyDescent="0.2">
      <c r="A25" s="24">
        <v>56</v>
      </c>
      <c r="B25" s="14" t="s">
        <v>5</v>
      </c>
      <c r="C25" s="59"/>
      <c r="D25" s="49">
        <v>0.01</v>
      </c>
      <c r="E25" s="46">
        <f t="shared" si="0"/>
        <v>0</v>
      </c>
    </row>
    <row r="26" spans="1:5" ht="20.5" customHeight="1" x14ac:dyDescent="0.2">
      <c r="A26" s="24">
        <v>62</v>
      </c>
      <c r="B26" s="14" t="s">
        <v>5</v>
      </c>
      <c r="C26" s="59"/>
      <c r="D26" s="49">
        <v>0.01</v>
      </c>
      <c r="E26" s="46">
        <f t="shared" si="0"/>
        <v>0</v>
      </c>
    </row>
    <row r="27" spans="1:5" ht="20.5" customHeight="1" x14ac:dyDescent="0.2">
      <c r="A27" s="24">
        <v>68</v>
      </c>
      <c r="B27" s="14" t="s">
        <v>5</v>
      </c>
      <c r="C27" s="59"/>
      <c r="D27" s="49">
        <v>0.01</v>
      </c>
      <c r="E27" s="46">
        <f t="shared" si="0"/>
        <v>0</v>
      </c>
    </row>
    <row r="28" spans="1:5" ht="20.5" customHeight="1" x14ac:dyDescent="0.2">
      <c r="A28" s="24">
        <v>75</v>
      </c>
      <c r="B28" s="14" t="s">
        <v>5</v>
      </c>
      <c r="C28" s="59"/>
      <c r="D28" s="49">
        <v>0.01</v>
      </c>
      <c r="E28" s="46">
        <f t="shared" si="0"/>
        <v>0</v>
      </c>
    </row>
    <row r="29" spans="1:5" ht="20.5" customHeight="1" x14ac:dyDescent="0.2">
      <c r="A29" s="24">
        <v>82</v>
      </c>
      <c r="B29" s="14" t="s">
        <v>5</v>
      </c>
      <c r="C29" s="59"/>
      <c r="D29" s="49">
        <v>0.01</v>
      </c>
      <c r="E29" s="46">
        <f t="shared" si="0"/>
        <v>0</v>
      </c>
    </row>
    <row r="30" spans="1:5" ht="20.5" customHeight="1" x14ac:dyDescent="0.2">
      <c r="A30" s="24">
        <v>91</v>
      </c>
      <c r="B30" s="14" t="s">
        <v>5</v>
      </c>
      <c r="C30" s="59"/>
      <c r="D30" s="49">
        <v>0.01</v>
      </c>
      <c r="E30" s="46">
        <f t="shared" si="0"/>
        <v>0</v>
      </c>
    </row>
    <row r="31" spans="1:5" ht="20.5" customHeight="1" x14ac:dyDescent="0.2">
      <c r="A31" s="24">
        <v>100</v>
      </c>
      <c r="B31" s="14" t="s">
        <v>5</v>
      </c>
      <c r="C31" s="59"/>
      <c r="D31" s="49">
        <v>0.01</v>
      </c>
      <c r="E31" s="46">
        <f t="shared" si="0"/>
        <v>0</v>
      </c>
    </row>
    <row r="32" spans="1:5" ht="20.5" customHeight="1" x14ac:dyDescent="0.2">
      <c r="A32" s="24">
        <v>110</v>
      </c>
      <c r="B32" s="14" t="s">
        <v>5</v>
      </c>
      <c r="C32" s="59"/>
      <c r="D32" s="49">
        <v>0.01</v>
      </c>
      <c r="E32" s="46">
        <f t="shared" si="0"/>
        <v>0</v>
      </c>
    </row>
    <row r="33" spans="1:5" ht="20.5" customHeight="1" x14ac:dyDescent="0.2">
      <c r="A33" s="24">
        <v>120</v>
      </c>
      <c r="B33" s="14" t="s">
        <v>5</v>
      </c>
      <c r="C33" s="59"/>
      <c r="D33" s="49">
        <v>0.01</v>
      </c>
      <c r="E33" s="46">
        <f t="shared" si="0"/>
        <v>0</v>
      </c>
    </row>
    <row r="34" spans="1:5" ht="20.5" customHeight="1" x14ac:dyDescent="0.2">
      <c r="A34" s="24">
        <v>150</v>
      </c>
      <c r="B34" s="14" t="s">
        <v>5</v>
      </c>
      <c r="C34" s="59"/>
      <c r="D34" s="49">
        <v>0.01</v>
      </c>
      <c r="E34" s="46">
        <f t="shared" si="0"/>
        <v>0</v>
      </c>
    </row>
    <row r="35" spans="1:5" ht="20.5" customHeight="1" x14ac:dyDescent="0.2">
      <c r="A35" s="24">
        <v>160</v>
      </c>
      <c r="B35" s="14" t="s">
        <v>5</v>
      </c>
      <c r="C35" s="59"/>
      <c r="D35" s="49">
        <v>0.01</v>
      </c>
      <c r="E35" s="46">
        <f t="shared" si="0"/>
        <v>0</v>
      </c>
    </row>
    <row r="36" spans="1:5" ht="20.5" customHeight="1" x14ac:dyDescent="0.2">
      <c r="A36" s="24">
        <v>180</v>
      </c>
      <c r="B36" s="14" t="s">
        <v>5</v>
      </c>
      <c r="C36" s="59">
        <v>2</v>
      </c>
      <c r="D36" s="49">
        <v>0.01</v>
      </c>
      <c r="E36" s="46">
        <f t="shared" si="0"/>
        <v>0.02</v>
      </c>
    </row>
    <row r="37" spans="1:5" ht="20.5" customHeight="1" x14ac:dyDescent="0.2">
      <c r="A37" s="24">
        <v>200</v>
      </c>
      <c r="B37" s="14" t="s">
        <v>5</v>
      </c>
      <c r="C37" s="59"/>
      <c r="D37" s="49">
        <v>0.01</v>
      </c>
      <c r="E37" s="46">
        <f t="shared" si="0"/>
        <v>0</v>
      </c>
    </row>
    <row r="38" spans="1:5" ht="20.5" customHeight="1" x14ac:dyDescent="0.2">
      <c r="A38" s="24">
        <v>220</v>
      </c>
      <c r="B38" s="14" t="s">
        <v>5</v>
      </c>
      <c r="C38" s="59"/>
      <c r="D38" s="49">
        <v>0.01</v>
      </c>
      <c r="E38" s="46">
        <f t="shared" si="0"/>
        <v>0</v>
      </c>
    </row>
    <row r="39" spans="1:5" ht="20.5" customHeight="1" x14ac:dyDescent="0.2">
      <c r="A39" s="24">
        <v>240</v>
      </c>
      <c r="B39" s="14" t="s">
        <v>5</v>
      </c>
      <c r="C39" s="59"/>
      <c r="D39" s="49">
        <v>0.01</v>
      </c>
      <c r="E39" s="46">
        <f t="shared" si="0"/>
        <v>0</v>
      </c>
    </row>
    <row r="40" spans="1:5" ht="20.5" customHeight="1" x14ac:dyDescent="0.2">
      <c r="A40" s="24">
        <v>270</v>
      </c>
      <c r="B40" s="14" t="s">
        <v>5</v>
      </c>
      <c r="C40" s="59"/>
      <c r="D40" s="49">
        <v>0.01</v>
      </c>
      <c r="E40" s="46">
        <f t="shared" si="0"/>
        <v>0</v>
      </c>
    </row>
    <row r="41" spans="1:5" ht="20.5" customHeight="1" x14ac:dyDescent="0.2">
      <c r="A41" s="24">
        <v>300</v>
      </c>
      <c r="B41" s="14" t="s">
        <v>5</v>
      </c>
      <c r="C41" s="59">
        <v>1</v>
      </c>
      <c r="D41" s="49">
        <v>0.01</v>
      </c>
      <c r="E41" s="46">
        <f t="shared" si="0"/>
        <v>0.01</v>
      </c>
    </row>
    <row r="42" spans="1:5" ht="20.5" customHeight="1" x14ac:dyDescent="0.2">
      <c r="A42" s="24">
        <v>330</v>
      </c>
      <c r="B42" s="14" t="s">
        <v>5</v>
      </c>
      <c r="C42" s="59"/>
      <c r="D42" s="49">
        <v>0.01</v>
      </c>
      <c r="E42" s="46">
        <f t="shared" si="0"/>
        <v>0</v>
      </c>
    </row>
    <row r="43" spans="1:5" ht="20.5" customHeight="1" x14ac:dyDescent="0.2">
      <c r="A43" s="24">
        <v>360</v>
      </c>
      <c r="B43" s="14" t="s">
        <v>5</v>
      </c>
      <c r="C43" s="59"/>
      <c r="D43" s="49">
        <v>0.01</v>
      </c>
      <c r="E43" s="46">
        <f t="shared" si="0"/>
        <v>0</v>
      </c>
    </row>
    <row r="44" spans="1:5" ht="20.5" customHeight="1" x14ac:dyDescent="0.2">
      <c r="A44" s="24">
        <v>390</v>
      </c>
      <c r="B44" s="14" t="s">
        <v>5</v>
      </c>
      <c r="C44" s="59"/>
      <c r="D44" s="49">
        <v>0.01</v>
      </c>
      <c r="E44" s="46">
        <f t="shared" si="0"/>
        <v>0</v>
      </c>
    </row>
    <row r="45" spans="1:5" ht="20.5" customHeight="1" x14ac:dyDescent="0.2">
      <c r="A45" s="24">
        <v>430</v>
      </c>
      <c r="B45" s="14" t="s">
        <v>5</v>
      </c>
      <c r="C45" s="59"/>
      <c r="D45" s="49">
        <v>0.01</v>
      </c>
      <c r="E45" s="46">
        <f t="shared" si="0"/>
        <v>0</v>
      </c>
    </row>
    <row r="46" spans="1:5" ht="20.5" customHeight="1" x14ac:dyDescent="0.2">
      <c r="A46" s="24">
        <v>470</v>
      </c>
      <c r="B46" s="14" t="s">
        <v>5</v>
      </c>
      <c r="C46" s="59"/>
      <c r="D46" s="49">
        <v>0.01</v>
      </c>
      <c r="E46" s="46">
        <f t="shared" si="0"/>
        <v>0</v>
      </c>
    </row>
    <row r="47" spans="1:5" ht="20.5" customHeight="1" x14ac:dyDescent="0.2">
      <c r="A47" s="24">
        <v>510</v>
      </c>
      <c r="B47" s="14" t="s">
        <v>5</v>
      </c>
      <c r="C47" s="59"/>
      <c r="D47" s="49">
        <v>0.01</v>
      </c>
      <c r="E47" s="46">
        <f t="shared" si="0"/>
        <v>0</v>
      </c>
    </row>
    <row r="48" spans="1:5" ht="20.5" customHeight="1" x14ac:dyDescent="0.2">
      <c r="A48" s="24">
        <v>560</v>
      </c>
      <c r="B48" s="14" t="s">
        <v>5</v>
      </c>
      <c r="C48" s="59"/>
      <c r="D48" s="49">
        <v>0.01</v>
      </c>
      <c r="E48" s="46">
        <f t="shared" si="0"/>
        <v>0</v>
      </c>
    </row>
    <row r="49" spans="1:5" ht="20.5" customHeight="1" x14ac:dyDescent="0.2">
      <c r="A49" s="24">
        <v>620</v>
      </c>
      <c r="B49" s="14" t="s">
        <v>5</v>
      </c>
      <c r="C49" s="59"/>
      <c r="D49" s="49">
        <v>0.01</v>
      </c>
      <c r="E49" s="46">
        <f t="shared" si="0"/>
        <v>0</v>
      </c>
    </row>
    <row r="50" spans="1:5" ht="20.5" customHeight="1" x14ac:dyDescent="0.2">
      <c r="A50" s="24">
        <v>680</v>
      </c>
      <c r="B50" s="14" t="s">
        <v>5</v>
      </c>
      <c r="C50" s="59"/>
      <c r="D50" s="49">
        <v>0.01</v>
      </c>
      <c r="E50" s="46">
        <f t="shared" si="0"/>
        <v>0</v>
      </c>
    </row>
    <row r="51" spans="1:5" ht="20.5" customHeight="1" x14ac:dyDescent="0.2">
      <c r="A51" s="24">
        <v>750</v>
      </c>
      <c r="B51" s="14" t="s">
        <v>5</v>
      </c>
      <c r="C51" s="59"/>
      <c r="D51" s="49">
        <v>0.01</v>
      </c>
      <c r="E51" s="46">
        <f t="shared" si="0"/>
        <v>0</v>
      </c>
    </row>
    <row r="52" spans="1:5" ht="20.5" customHeight="1" x14ac:dyDescent="0.2">
      <c r="A52" s="24">
        <v>820</v>
      </c>
      <c r="B52" s="14" t="s">
        <v>5</v>
      </c>
      <c r="C52" s="59"/>
      <c r="D52" s="49">
        <v>0.01</v>
      </c>
      <c r="E52" s="46">
        <f t="shared" si="0"/>
        <v>0</v>
      </c>
    </row>
    <row r="53" spans="1:5" ht="20.5" customHeight="1" x14ac:dyDescent="0.2">
      <c r="A53" s="24">
        <v>910</v>
      </c>
      <c r="B53" s="14" t="s">
        <v>5</v>
      </c>
      <c r="C53" s="59"/>
      <c r="D53" s="49">
        <v>0.01</v>
      </c>
      <c r="E53" s="46">
        <f t="shared" si="0"/>
        <v>0</v>
      </c>
    </row>
    <row r="54" spans="1:5" ht="20.5" customHeight="1" x14ac:dyDescent="0.2">
      <c r="A54" s="24" t="s">
        <v>73</v>
      </c>
      <c r="B54" s="14" t="s">
        <v>5</v>
      </c>
      <c r="C54" s="59">
        <v>2</v>
      </c>
      <c r="D54" s="49">
        <v>0.01</v>
      </c>
      <c r="E54" s="46">
        <f t="shared" si="0"/>
        <v>0.02</v>
      </c>
    </row>
    <row r="55" spans="1:5" ht="20.5" customHeight="1" x14ac:dyDescent="0.2">
      <c r="A55" s="24" t="s">
        <v>74</v>
      </c>
      <c r="B55" s="14" t="s">
        <v>5</v>
      </c>
      <c r="C55" s="59"/>
      <c r="D55" s="49">
        <v>0.01</v>
      </c>
      <c r="E55" s="46">
        <f t="shared" si="0"/>
        <v>0</v>
      </c>
    </row>
    <row r="56" spans="1:5" ht="20.5" customHeight="1" x14ac:dyDescent="0.2">
      <c r="A56" s="24" t="s">
        <v>75</v>
      </c>
      <c r="B56" s="14" t="s">
        <v>5</v>
      </c>
      <c r="C56" s="59"/>
      <c r="D56" s="49">
        <v>0.01</v>
      </c>
      <c r="E56" s="46">
        <f t="shared" si="0"/>
        <v>0</v>
      </c>
    </row>
    <row r="57" spans="1:5" ht="20.5" customHeight="1" x14ac:dyDescent="0.2">
      <c r="A57" s="24" t="s">
        <v>76</v>
      </c>
      <c r="B57" s="14" t="s">
        <v>5</v>
      </c>
      <c r="C57" s="59"/>
      <c r="D57" s="49">
        <v>0.01</v>
      </c>
      <c r="E57" s="46">
        <f t="shared" si="0"/>
        <v>0</v>
      </c>
    </row>
    <row r="58" spans="1:5" ht="20.5" customHeight="1" x14ac:dyDescent="0.2">
      <c r="A58" s="24" t="s">
        <v>77</v>
      </c>
      <c r="B58" s="14" t="s">
        <v>5</v>
      </c>
      <c r="C58" s="59"/>
      <c r="D58" s="49">
        <v>0.01</v>
      </c>
      <c r="E58" s="46">
        <f t="shared" si="0"/>
        <v>0</v>
      </c>
    </row>
    <row r="59" spans="1:5" ht="20.5" customHeight="1" x14ac:dyDescent="0.2">
      <c r="A59" s="24" t="s">
        <v>78</v>
      </c>
      <c r="B59" s="14" t="s">
        <v>5</v>
      </c>
      <c r="C59" s="59"/>
      <c r="D59" s="49">
        <v>0.01</v>
      </c>
      <c r="E59" s="46">
        <f t="shared" si="0"/>
        <v>0</v>
      </c>
    </row>
    <row r="60" spans="1:5" ht="20.5" customHeight="1" x14ac:dyDescent="0.2">
      <c r="A60" s="24" t="s">
        <v>79</v>
      </c>
      <c r="B60" s="14" t="s">
        <v>5</v>
      </c>
      <c r="C60" s="59">
        <v>1</v>
      </c>
      <c r="D60" s="49">
        <v>0.01</v>
      </c>
      <c r="E60" s="46">
        <f t="shared" si="0"/>
        <v>0.01</v>
      </c>
    </row>
    <row r="61" spans="1:5" ht="20.5" customHeight="1" x14ac:dyDescent="0.2">
      <c r="A61" s="24" t="s">
        <v>80</v>
      </c>
      <c r="B61" s="14" t="s">
        <v>5</v>
      </c>
      <c r="C61" s="59"/>
      <c r="D61" s="49">
        <v>0.01</v>
      </c>
      <c r="E61" s="46">
        <f t="shared" si="0"/>
        <v>0</v>
      </c>
    </row>
    <row r="62" spans="1:5" ht="20.5" customHeight="1" x14ac:dyDescent="0.2">
      <c r="A62" s="24" t="s">
        <v>81</v>
      </c>
      <c r="B62" s="14" t="s">
        <v>5</v>
      </c>
      <c r="C62" s="59"/>
      <c r="D62" s="49">
        <v>0.01</v>
      </c>
      <c r="E62" s="46">
        <f t="shared" si="0"/>
        <v>0</v>
      </c>
    </row>
    <row r="63" spans="1:5" ht="20.5" customHeight="1" x14ac:dyDescent="0.2">
      <c r="A63" s="24" t="s">
        <v>82</v>
      </c>
      <c r="B63" s="14" t="s">
        <v>5</v>
      </c>
      <c r="C63" s="59"/>
      <c r="D63" s="49">
        <v>0.01</v>
      </c>
      <c r="E63" s="46">
        <f t="shared" si="0"/>
        <v>0</v>
      </c>
    </row>
    <row r="64" spans="1:5" ht="20.5" customHeight="1" x14ac:dyDescent="0.2">
      <c r="A64" s="24" t="s">
        <v>83</v>
      </c>
      <c r="B64" s="14" t="s">
        <v>5</v>
      </c>
      <c r="C64" s="59"/>
      <c r="D64" s="49">
        <v>0.01</v>
      </c>
      <c r="E64" s="46">
        <f t="shared" si="0"/>
        <v>0</v>
      </c>
    </row>
    <row r="65" spans="1:5" ht="20.5" customHeight="1" x14ac:dyDescent="0.2">
      <c r="A65" s="24" t="s">
        <v>84</v>
      </c>
      <c r="B65" s="14" t="s">
        <v>5</v>
      </c>
      <c r="C65" s="59"/>
      <c r="D65" s="49">
        <v>0.01</v>
      </c>
      <c r="E65" s="46">
        <f t="shared" si="0"/>
        <v>0</v>
      </c>
    </row>
    <row r="66" spans="1:5" ht="20.5" customHeight="1" x14ac:dyDescent="0.2">
      <c r="A66" s="24" t="s">
        <v>85</v>
      </c>
      <c r="B66" s="14" t="s">
        <v>5</v>
      </c>
      <c r="C66" s="59"/>
      <c r="D66" s="49">
        <v>0.01</v>
      </c>
      <c r="E66" s="46">
        <f t="shared" si="0"/>
        <v>0</v>
      </c>
    </row>
    <row r="67" spans="1:5" ht="20.5" customHeight="1" x14ac:dyDescent="0.2">
      <c r="A67" s="24" t="s">
        <v>86</v>
      </c>
      <c r="B67" s="14" t="s">
        <v>5</v>
      </c>
      <c r="C67" s="59"/>
      <c r="D67" s="49">
        <v>0.01</v>
      </c>
      <c r="E67" s="46">
        <f t="shared" si="0"/>
        <v>0</v>
      </c>
    </row>
    <row r="68" spans="1:5" ht="20.5" customHeight="1" x14ac:dyDescent="0.2">
      <c r="A68" s="24" t="s">
        <v>87</v>
      </c>
      <c r="B68" s="14" t="s">
        <v>5</v>
      </c>
      <c r="C68" s="59">
        <v>1</v>
      </c>
      <c r="D68" s="49">
        <v>0.01</v>
      </c>
      <c r="E68" s="46">
        <f t="shared" si="0"/>
        <v>0.01</v>
      </c>
    </row>
    <row r="69" spans="1:5" ht="20.5" customHeight="1" x14ac:dyDescent="0.2">
      <c r="A69" s="24" t="s">
        <v>88</v>
      </c>
      <c r="B69" s="14" t="s">
        <v>5</v>
      </c>
      <c r="C69" s="59"/>
      <c r="D69" s="49">
        <v>0.01</v>
      </c>
      <c r="E69" s="46">
        <f t="shared" si="0"/>
        <v>0</v>
      </c>
    </row>
    <row r="70" spans="1:5" ht="20.5" customHeight="1" x14ac:dyDescent="0.2">
      <c r="A70" s="24" t="s">
        <v>89</v>
      </c>
      <c r="B70" s="14" t="s">
        <v>5</v>
      </c>
      <c r="C70" s="59"/>
      <c r="D70" s="49">
        <v>0.01</v>
      </c>
      <c r="E70" s="46">
        <f t="shared" ref="E70:E123" si="1">C70*D70</f>
        <v>0</v>
      </c>
    </row>
    <row r="71" spans="1:5" ht="20.5" customHeight="1" x14ac:dyDescent="0.2">
      <c r="A71" s="24" t="s">
        <v>90</v>
      </c>
      <c r="B71" s="14" t="s">
        <v>5</v>
      </c>
      <c r="C71" s="59"/>
      <c r="D71" s="49">
        <v>0.01</v>
      </c>
      <c r="E71" s="46">
        <f t="shared" si="1"/>
        <v>0</v>
      </c>
    </row>
    <row r="72" spans="1:5" ht="20.5" customHeight="1" x14ac:dyDescent="0.2">
      <c r="A72" s="24" t="s">
        <v>91</v>
      </c>
      <c r="B72" s="14" t="s">
        <v>5</v>
      </c>
      <c r="C72" s="59"/>
      <c r="D72" s="49">
        <v>0.01</v>
      </c>
      <c r="E72" s="46">
        <f t="shared" si="1"/>
        <v>0</v>
      </c>
    </row>
    <row r="73" spans="1:5" ht="20.5" customHeight="1" x14ac:dyDescent="0.2">
      <c r="A73" s="24" t="s">
        <v>92</v>
      </c>
      <c r="B73" s="14" t="s">
        <v>5</v>
      </c>
      <c r="C73" s="59"/>
      <c r="D73" s="49">
        <v>0.01</v>
      </c>
      <c r="E73" s="46">
        <f t="shared" si="1"/>
        <v>0</v>
      </c>
    </row>
    <row r="74" spans="1:5" ht="20.5" customHeight="1" x14ac:dyDescent="0.2">
      <c r="A74" s="24" t="s">
        <v>93</v>
      </c>
      <c r="B74" s="14" t="s">
        <v>5</v>
      </c>
      <c r="C74" s="59"/>
      <c r="D74" s="49">
        <v>0.01</v>
      </c>
      <c r="E74" s="46">
        <f t="shared" si="1"/>
        <v>0</v>
      </c>
    </row>
    <row r="75" spans="1:5" ht="20.5" customHeight="1" x14ac:dyDescent="0.2">
      <c r="A75" s="24" t="s">
        <v>94</v>
      </c>
      <c r="B75" s="14" t="s">
        <v>5</v>
      </c>
      <c r="C75" s="59"/>
      <c r="D75" s="49">
        <v>0.01</v>
      </c>
      <c r="E75" s="46">
        <f t="shared" si="1"/>
        <v>0</v>
      </c>
    </row>
    <row r="76" spans="1:5" ht="20.5" customHeight="1" x14ac:dyDescent="0.2">
      <c r="A76" s="24" t="s">
        <v>95</v>
      </c>
      <c r="B76" s="14" t="s">
        <v>5</v>
      </c>
      <c r="C76" s="59"/>
      <c r="D76" s="49">
        <v>0.01</v>
      </c>
      <c r="E76" s="46">
        <f t="shared" si="1"/>
        <v>0</v>
      </c>
    </row>
    <row r="77" spans="1:5" ht="20.5" customHeight="1" x14ac:dyDescent="0.2">
      <c r="A77" s="24" t="s">
        <v>96</v>
      </c>
      <c r="B77" s="14" t="s">
        <v>5</v>
      </c>
      <c r="C77" s="59">
        <v>2</v>
      </c>
      <c r="D77" s="49">
        <v>0.01</v>
      </c>
      <c r="E77" s="46">
        <f t="shared" si="1"/>
        <v>0.02</v>
      </c>
    </row>
    <row r="78" spans="1:5" ht="20.5" customHeight="1" x14ac:dyDescent="0.2">
      <c r="A78" s="24" t="s">
        <v>97</v>
      </c>
      <c r="B78" s="14" t="s">
        <v>5</v>
      </c>
      <c r="C78" s="59"/>
      <c r="D78" s="49">
        <v>0.01</v>
      </c>
      <c r="E78" s="46">
        <f t="shared" si="1"/>
        <v>0</v>
      </c>
    </row>
    <row r="79" spans="1:5" ht="20.5" customHeight="1" x14ac:dyDescent="0.2">
      <c r="A79" s="24" t="s">
        <v>98</v>
      </c>
      <c r="B79" s="14" t="s">
        <v>5</v>
      </c>
      <c r="C79" s="59"/>
      <c r="D79" s="49">
        <v>0.01</v>
      </c>
      <c r="E79" s="46">
        <f t="shared" si="1"/>
        <v>0</v>
      </c>
    </row>
    <row r="80" spans="1:5" ht="20.5" customHeight="1" x14ac:dyDescent="0.2">
      <c r="A80" s="24" t="s">
        <v>99</v>
      </c>
      <c r="B80" s="14" t="s">
        <v>5</v>
      </c>
      <c r="C80" s="59"/>
      <c r="D80" s="49">
        <v>0.01</v>
      </c>
      <c r="E80" s="46">
        <f t="shared" si="1"/>
        <v>0</v>
      </c>
    </row>
    <row r="81" spans="1:5" ht="20.5" customHeight="1" x14ac:dyDescent="0.2">
      <c r="A81" s="24" t="s">
        <v>100</v>
      </c>
      <c r="B81" s="14" t="s">
        <v>5</v>
      </c>
      <c r="C81" s="59"/>
      <c r="D81" s="49">
        <v>0.01</v>
      </c>
      <c r="E81" s="46">
        <f t="shared" si="1"/>
        <v>0</v>
      </c>
    </row>
    <row r="82" spans="1:5" ht="20.5" customHeight="1" x14ac:dyDescent="0.2">
      <c r="A82" s="24" t="s">
        <v>101</v>
      </c>
      <c r="B82" s="14" t="s">
        <v>5</v>
      </c>
      <c r="C82" s="59"/>
      <c r="D82" s="49">
        <v>0.01</v>
      </c>
      <c r="E82" s="46">
        <f t="shared" si="1"/>
        <v>0</v>
      </c>
    </row>
    <row r="83" spans="1:5" ht="20.5" customHeight="1" x14ac:dyDescent="0.2">
      <c r="A83" s="24" t="s">
        <v>102</v>
      </c>
      <c r="B83" s="14" t="s">
        <v>5</v>
      </c>
      <c r="C83" s="59"/>
      <c r="D83" s="49">
        <v>0.01</v>
      </c>
      <c r="E83" s="46">
        <f t="shared" si="1"/>
        <v>0</v>
      </c>
    </row>
    <row r="84" spans="1:5" ht="20.5" customHeight="1" x14ac:dyDescent="0.2">
      <c r="A84" s="24" t="s">
        <v>103</v>
      </c>
      <c r="B84" s="14" t="s">
        <v>5</v>
      </c>
      <c r="C84" s="59"/>
      <c r="D84" s="49">
        <v>0.01</v>
      </c>
      <c r="E84" s="46">
        <f t="shared" si="1"/>
        <v>0</v>
      </c>
    </row>
    <row r="85" spans="1:5" ht="20.5" customHeight="1" x14ac:dyDescent="0.2">
      <c r="A85" s="24" t="s">
        <v>104</v>
      </c>
      <c r="B85" s="14" t="s">
        <v>5</v>
      </c>
      <c r="C85" s="59"/>
      <c r="D85" s="49">
        <v>0.01</v>
      </c>
      <c r="E85" s="46">
        <f t="shared" si="1"/>
        <v>0</v>
      </c>
    </row>
    <row r="86" spans="1:5" ht="20.5" customHeight="1" x14ac:dyDescent="0.2">
      <c r="A86" s="24" t="s">
        <v>105</v>
      </c>
      <c r="B86" s="14" t="s">
        <v>5</v>
      </c>
      <c r="C86" s="59"/>
      <c r="D86" s="49">
        <v>0.01</v>
      </c>
      <c r="E86" s="46">
        <f t="shared" si="1"/>
        <v>0</v>
      </c>
    </row>
    <row r="87" spans="1:5" ht="20.5" customHeight="1" x14ac:dyDescent="0.2">
      <c r="A87" s="24" t="s">
        <v>106</v>
      </c>
      <c r="B87" s="14" t="s">
        <v>5</v>
      </c>
      <c r="C87" s="59"/>
      <c r="D87" s="49">
        <v>0.01</v>
      </c>
      <c r="E87" s="46">
        <f t="shared" si="1"/>
        <v>0</v>
      </c>
    </row>
    <row r="88" spans="1:5" ht="20.5" customHeight="1" x14ac:dyDescent="0.2">
      <c r="A88" s="24" t="s">
        <v>107</v>
      </c>
      <c r="B88" s="14" t="s">
        <v>5</v>
      </c>
      <c r="C88" s="59"/>
      <c r="D88" s="49">
        <v>0.01</v>
      </c>
      <c r="E88" s="46">
        <f t="shared" si="1"/>
        <v>0</v>
      </c>
    </row>
    <row r="89" spans="1:5" ht="20.5" customHeight="1" x14ac:dyDescent="0.2">
      <c r="A89" s="24" t="s">
        <v>108</v>
      </c>
      <c r="B89" s="14" t="s">
        <v>5</v>
      </c>
      <c r="C89" s="59"/>
      <c r="D89" s="49">
        <v>0.01</v>
      </c>
      <c r="E89" s="46">
        <f t="shared" si="1"/>
        <v>0</v>
      </c>
    </row>
    <row r="90" spans="1:5" ht="20.5" customHeight="1" x14ac:dyDescent="0.2">
      <c r="A90" s="24" t="s">
        <v>109</v>
      </c>
      <c r="B90" s="14" t="s">
        <v>5</v>
      </c>
      <c r="C90" s="59"/>
      <c r="D90" s="49">
        <v>0.01</v>
      </c>
      <c r="E90" s="46">
        <f t="shared" si="1"/>
        <v>0</v>
      </c>
    </row>
    <row r="91" spans="1:5" ht="20.5" customHeight="1" x14ac:dyDescent="0.2">
      <c r="A91" s="24" t="s">
        <v>110</v>
      </c>
      <c r="B91" s="14" t="s">
        <v>5</v>
      </c>
      <c r="C91" s="59"/>
      <c r="D91" s="49">
        <v>0.01</v>
      </c>
      <c r="E91" s="46">
        <f t="shared" si="1"/>
        <v>0</v>
      </c>
    </row>
    <row r="92" spans="1:5" ht="20.5" customHeight="1" x14ac:dyDescent="0.2">
      <c r="A92" s="24" t="s">
        <v>111</v>
      </c>
      <c r="B92" s="14" t="s">
        <v>5</v>
      </c>
      <c r="C92" s="59"/>
      <c r="D92" s="49">
        <v>0.01</v>
      </c>
      <c r="E92" s="46">
        <f t="shared" si="1"/>
        <v>0</v>
      </c>
    </row>
    <row r="93" spans="1:5" ht="20.5" customHeight="1" x14ac:dyDescent="0.2">
      <c r="A93" s="24" t="s">
        <v>112</v>
      </c>
      <c r="B93" s="14" t="s">
        <v>5</v>
      </c>
      <c r="C93" s="59"/>
      <c r="D93" s="49">
        <v>0.01</v>
      </c>
      <c r="E93" s="46">
        <f t="shared" si="1"/>
        <v>0</v>
      </c>
    </row>
    <row r="94" spans="1:5" ht="20.5" customHeight="1" x14ac:dyDescent="0.2">
      <c r="A94" s="24" t="s">
        <v>113</v>
      </c>
      <c r="B94" s="14" t="s">
        <v>5</v>
      </c>
      <c r="C94" s="59"/>
      <c r="D94" s="49">
        <v>0.01</v>
      </c>
      <c r="E94" s="46">
        <f t="shared" si="1"/>
        <v>0</v>
      </c>
    </row>
    <row r="95" spans="1:5" ht="20.5" customHeight="1" x14ac:dyDescent="0.2">
      <c r="A95" s="24" t="s">
        <v>114</v>
      </c>
      <c r="B95" s="14" t="s">
        <v>5</v>
      </c>
      <c r="C95" s="59"/>
      <c r="D95" s="49">
        <v>0.01</v>
      </c>
      <c r="E95" s="46">
        <f t="shared" si="1"/>
        <v>0</v>
      </c>
    </row>
    <row r="96" spans="1:5" ht="20.5" customHeight="1" x14ac:dyDescent="0.2">
      <c r="A96" s="24" t="s">
        <v>115</v>
      </c>
      <c r="B96" s="14" t="s">
        <v>5</v>
      </c>
      <c r="C96" s="59"/>
      <c r="D96" s="49">
        <v>0.01</v>
      </c>
      <c r="E96" s="46">
        <f t="shared" si="1"/>
        <v>0</v>
      </c>
    </row>
    <row r="97" spans="1:5" ht="20.5" customHeight="1" x14ac:dyDescent="0.2">
      <c r="A97" s="24" t="s">
        <v>116</v>
      </c>
      <c r="B97" s="14" t="s">
        <v>5</v>
      </c>
      <c r="C97" s="59"/>
      <c r="D97" s="49">
        <v>0.01</v>
      </c>
      <c r="E97" s="46">
        <f t="shared" si="1"/>
        <v>0</v>
      </c>
    </row>
    <row r="98" spans="1:5" ht="20.5" customHeight="1" x14ac:dyDescent="0.2">
      <c r="A98" s="24" t="s">
        <v>117</v>
      </c>
      <c r="B98" s="14" t="s">
        <v>5</v>
      </c>
      <c r="C98" s="59"/>
      <c r="D98" s="49">
        <v>0.01</v>
      </c>
      <c r="E98" s="46">
        <f t="shared" si="1"/>
        <v>0</v>
      </c>
    </row>
    <row r="99" spans="1:5" ht="20.5" customHeight="1" x14ac:dyDescent="0.2">
      <c r="A99" s="24" t="s">
        <v>118</v>
      </c>
      <c r="B99" s="14" t="s">
        <v>5</v>
      </c>
      <c r="C99" s="59"/>
      <c r="D99" s="49">
        <v>0.01</v>
      </c>
      <c r="E99" s="46">
        <f t="shared" si="1"/>
        <v>0</v>
      </c>
    </row>
    <row r="100" spans="1:5" ht="20.5" customHeight="1" x14ac:dyDescent="0.2">
      <c r="A100" s="24" t="s">
        <v>119</v>
      </c>
      <c r="B100" s="14" t="s">
        <v>5</v>
      </c>
      <c r="C100" s="59"/>
      <c r="D100" s="49">
        <v>0.01</v>
      </c>
      <c r="E100" s="46">
        <f t="shared" si="1"/>
        <v>0</v>
      </c>
    </row>
    <row r="101" spans="1:5" ht="20.5" customHeight="1" x14ac:dyDescent="0.2">
      <c r="A101" s="24" t="s">
        <v>120</v>
      </c>
      <c r="B101" s="14" t="s">
        <v>5</v>
      </c>
      <c r="C101" s="59"/>
      <c r="D101" s="49">
        <v>0.01</v>
      </c>
      <c r="E101" s="46">
        <f t="shared" si="1"/>
        <v>0</v>
      </c>
    </row>
    <row r="102" spans="1:5" ht="20.5" customHeight="1" x14ac:dyDescent="0.2">
      <c r="A102" s="24" t="s">
        <v>121</v>
      </c>
      <c r="B102" s="14" t="s">
        <v>5</v>
      </c>
      <c r="C102" s="59"/>
      <c r="D102" s="49">
        <v>0.01</v>
      </c>
      <c r="E102" s="46">
        <f t="shared" si="1"/>
        <v>0</v>
      </c>
    </row>
    <row r="103" spans="1:5" ht="20.5" customHeight="1" x14ac:dyDescent="0.2">
      <c r="A103" s="24" t="s">
        <v>122</v>
      </c>
      <c r="B103" s="14" t="s">
        <v>5</v>
      </c>
      <c r="C103" s="59"/>
      <c r="D103" s="49">
        <v>0.01</v>
      </c>
      <c r="E103" s="46">
        <f t="shared" si="1"/>
        <v>0</v>
      </c>
    </row>
    <row r="104" spans="1:5" ht="20.5" customHeight="1" x14ac:dyDescent="0.2">
      <c r="A104" s="24" t="s">
        <v>123</v>
      </c>
      <c r="B104" s="14" t="s">
        <v>5</v>
      </c>
      <c r="C104" s="59"/>
      <c r="D104" s="49">
        <v>0.01</v>
      </c>
      <c r="E104" s="46">
        <f t="shared" si="1"/>
        <v>0</v>
      </c>
    </row>
    <row r="105" spans="1:5" ht="20.5" customHeight="1" x14ac:dyDescent="0.2">
      <c r="A105" s="24" t="s">
        <v>124</v>
      </c>
      <c r="B105" s="14" t="s">
        <v>5</v>
      </c>
      <c r="C105" s="59"/>
      <c r="D105" s="49">
        <v>0.01</v>
      </c>
      <c r="E105" s="46">
        <f t="shared" si="1"/>
        <v>0</v>
      </c>
    </row>
    <row r="106" spans="1:5" ht="20.5" customHeight="1" x14ac:dyDescent="0.2">
      <c r="A106" s="24" t="s">
        <v>125</v>
      </c>
      <c r="B106" s="14" t="s">
        <v>5</v>
      </c>
      <c r="C106" s="59"/>
      <c r="D106" s="49">
        <v>0.01</v>
      </c>
      <c r="E106" s="46">
        <f t="shared" si="1"/>
        <v>0</v>
      </c>
    </row>
    <row r="107" spans="1:5" ht="20.5" customHeight="1" x14ac:dyDescent="0.2">
      <c r="A107" s="24" t="s">
        <v>126</v>
      </c>
      <c r="B107" s="14" t="s">
        <v>5</v>
      </c>
      <c r="C107" s="59"/>
      <c r="D107" s="49">
        <v>0.01</v>
      </c>
      <c r="E107" s="46">
        <f t="shared" si="1"/>
        <v>0</v>
      </c>
    </row>
    <row r="108" spans="1:5" ht="20.5" customHeight="1" x14ac:dyDescent="0.2">
      <c r="A108" s="24" t="s">
        <v>127</v>
      </c>
      <c r="B108" s="14" t="s">
        <v>5</v>
      </c>
      <c r="C108" s="59"/>
      <c r="D108" s="49">
        <v>0.01</v>
      </c>
      <c r="E108" s="46">
        <f t="shared" si="1"/>
        <v>0</v>
      </c>
    </row>
    <row r="109" spans="1:5" ht="20.5" customHeight="1" x14ac:dyDescent="0.2">
      <c r="A109" s="24" t="s">
        <v>128</v>
      </c>
      <c r="B109" s="14" t="s">
        <v>5</v>
      </c>
      <c r="C109" s="59"/>
      <c r="D109" s="49">
        <v>0.01</v>
      </c>
      <c r="E109" s="46">
        <f t="shared" si="1"/>
        <v>0</v>
      </c>
    </row>
    <row r="110" spans="1:5" ht="20.5" customHeight="1" x14ac:dyDescent="0.2">
      <c r="A110" s="24" t="s">
        <v>129</v>
      </c>
      <c r="B110" s="14" t="s">
        <v>5</v>
      </c>
      <c r="C110" s="59"/>
      <c r="D110" s="49">
        <v>0.01</v>
      </c>
      <c r="E110" s="46">
        <f t="shared" si="1"/>
        <v>0</v>
      </c>
    </row>
    <row r="111" spans="1:5" ht="20.5" customHeight="1" x14ac:dyDescent="0.2">
      <c r="A111" s="24" t="s">
        <v>130</v>
      </c>
      <c r="B111" s="14" t="s">
        <v>5</v>
      </c>
      <c r="C111" s="59"/>
      <c r="D111" s="49">
        <v>0.01</v>
      </c>
      <c r="E111" s="46">
        <f t="shared" si="1"/>
        <v>0</v>
      </c>
    </row>
    <row r="112" spans="1:5" ht="20.5" customHeight="1" x14ac:dyDescent="0.2">
      <c r="A112" s="24" t="s">
        <v>131</v>
      </c>
      <c r="B112" s="14" t="s">
        <v>5</v>
      </c>
      <c r="C112" s="59"/>
      <c r="D112" s="49">
        <v>0.01</v>
      </c>
      <c r="E112" s="46">
        <f t="shared" si="1"/>
        <v>0</v>
      </c>
    </row>
    <row r="113" spans="1:5" ht="20.5" customHeight="1" x14ac:dyDescent="0.2">
      <c r="A113" s="24" t="s">
        <v>132</v>
      </c>
      <c r="B113" s="14" t="s">
        <v>5</v>
      </c>
      <c r="C113" s="59"/>
      <c r="D113" s="49">
        <v>0.01</v>
      </c>
      <c r="E113" s="46">
        <f t="shared" si="1"/>
        <v>0</v>
      </c>
    </row>
    <row r="114" spans="1:5" ht="20.5" customHeight="1" x14ac:dyDescent="0.2">
      <c r="A114" s="24" t="s">
        <v>133</v>
      </c>
      <c r="B114" s="14" t="s">
        <v>5</v>
      </c>
      <c r="C114" s="59"/>
      <c r="D114" s="49">
        <v>0.01</v>
      </c>
      <c r="E114" s="46">
        <f t="shared" si="1"/>
        <v>0</v>
      </c>
    </row>
    <row r="115" spans="1:5" ht="20.5" customHeight="1" x14ac:dyDescent="0.2">
      <c r="A115" s="24" t="s">
        <v>134</v>
      </c>
      <c r="B115" s="14" t="s">
        <v>5</v>
      </c>
      <c r="C115" s="59"/>
      <c r="D115" s="49">
        <v>0.01</v>
      </c>
      <c r="E115" s="46">
        <f t="shared" si="1"/>
        <v>0</v>
      </c>
    </row>
    <row r="116" spans="1:5" ht="20.5" customHeight="1" x14ac:dyDescent="0.2">
      <c r="A116" s="24" t="s">
        <v>135</v>
      </c>
      <c r="B116" s="14" t="s">
        <v>5</v>
      </c>
      <c r="C116" s="59"/>
      <c r="D116" s="49">
        <v>0.01</v>
      </c>
      <c r="E116" s="46">
        <f t="shared" si="1"/>
        <v>0</v>
      </c>
    </row>
    <row r="117" spans="1:5" ht="20.5" customHeight="1" x14ac:dyDescent="0.2">
      <c r="A117" s="24" t="s">
        <v>136</v>
      </c>
      <c r="B117" s="14" t="s">
        <v>5</v>
      </c>
      <c r="C117" s="59"/>
      <c r="D117" s="49">
        <v>0.01</v>
      </c>
      <c r="E117" s="46">
        <f t="shared" si="1"/>
        <v>0</v>
      </c>
    </row>
    <row r="118" spans="1:5" ht="20.5" customHeight="1" x14ac:dyDescent="0.2">
      <c r="A118" s="24" t="s">
        <v>137</v>
      </c>
      <c r="B118" s="14" t="s">
        <v>5</v>
      </c>
      <c r="C118" s="59"/>
      <c r="D118" s="49">
        <v>0.01</v>
      </c>
      <c r="E118" s="46">
        <f t="shared" si="1"/>
        <v>0</v>
      </c>
    </row>
    <row r="119" spans="1:5" ht="20.5" customHeight="1" x14ac:dyDescent="0.2">
      <c r="A119" s="24" t="s">
        <v>138</v>
      </c>
      <c r="B119" s="14" t="s">
        <v>5</v>
      </c>
      <c r="C119" s="59"/>
      <c r="D119" s="49">
        <v>0.01</v>
      </c>
      <c r="E119" s="46">
        <f t="shared" si="1"/>
        <v>0</v>
      </c>
    </row>
    <row r="120" spans="1:5" ht="20.5" customHeight="1" x14ac:dyDescent="0.2">
      <c r="A120" s="24" t="s">
        <v>139</v>
      </c>
      <c r="B120" s="14" t="s">
        <v>5</v>
      </c>
      <c r="C120" s="59"/>
      <c r="D120" s="49">
        <v>0.01</v>
      </c>
      <c r="E120" s="46">
        <f t="shared" si="1"/>
        <v>0</v>
      </c>
    </row>
    <row r="121" spans="1:5" ht="20.5" customHeight="1" x14ac:dyDescent="0.2">
      <c r="A121" s="24" t="s">
        <v>140</v>
      </c>
      <c r="B121" s="14" t="s">
        <v>5</v>
      </c>
      <c r="C121" s="59"/>
      <c r="D121" s="49">
        <v>0.01</v>
      </c>
      <c r="E121" s="46">
        <f t="shared" si="1"/>
        <v>0</v>
      </c>
    </row>
    <row r="122" spans="1:5" ht="20.5" customHeight="1" x14ac:dyDescent="0.2">
      <c r="A122" s="24" t="s">
        <v>141</v>
      </c>
      <c r="B122" s="14" t="s">
        <v>5</v>
      </c>
      <c r="C122" s="59"/>
      <c r="D122" s="49">
        <v>0.01</v>
      </c>
      <c r="E122" s="46">
        <f t="shared" si="1"/>
        <v>0</v>
      </c>
    </row>
    <row r="123" spans="1:5" ht="20.5" customHeight="1" x14ac:dyDescent="0.2">
      <c r="A123" s="24" t="s">
        <v>142</v>
      </c>
      <c r="B123" s="14" t="s">
        <v>5</v>
      </c>
      <c r="C123" s="59"/>
      <c r="D123" s="49">
        <v>0.01</v>
      </c>
      <c r="E123" s="46">
        <f t="shared" si="1"/>
        <v>0</v>
      </c>
    </row>
    <row r="124" spans="1:5" ht="20.5" customHeight="1" x14ac:dyDescent="0.2">
      <c r="A124"/>
      <c r="B124"/>
      <c r="C124" s="60"/>
      <c r="D124" s="50"/>
      <c r="E124" s="54">
        <f>SUM(E5:E123)</f>
        <v>0.12999999999999998</v>
      </c>
    </row>
    <row r="125" spans="1:5" ht="20.5" customHeight="1" x14ac:dyDescent="0.2">
      <c r="A125"/>
      <c r="B125"/>
      <c r="C125" s="61"/>
      <c r="D125" s="51"/>
    </row>
    <row r="126" spans="1:5" ht="20.5" customHeight="1" x14ac:dyDescent="0.25">
      <c r="A126" s="6" t="s">
        <v>6</v>
      </c>
      <c r="B126" s="12" t="s">
        <v>7</v>
      </c>
      <c r="C126" s="57" t="s">
        <v>2</v>
      </c>
      <c r="D126" s="47" t="s">
        <v>3</v>
      </c>
      <c r="E126" s="47" t="s">
        <v>163</v>
      </c>
    </row>
    <row r="127" spans="1:5" ht="20.5" customHeight="1" x14ac:dyDescent="0.25">
      <c r="A127" s="10"/>
      <c r="B127" s="13"/>
      <c r="C127" s="58"/>
      <c r="D127" s="48"/>
    </row>
    <row r="128" spans="1:5" ht="20.5" customHeight="1" x14ac:dyDescent="0.2">
      <c r="A128" s="2" t="s">
        <v>8</v>
      </c>
      <c r="B128" s="15" t="s">
        <v>5</v>
      </c>
      <c r="C128" s="59"/>
      <c r="D128" s="49">
        <v>0.03</v>
      </c>
      <c r="E128" s="46">
        <f>C128*D128</f>
        <v>0</v>
      </c>
    </row>
    <row r="129" spans="1:5" ht="20.5" customHeight="1" x14ac:dyDescent="0.2">
      <c r="A129" s="2" t="s">
        <v>9</v>
      </c>
      <c r="B129" s="15" t="s">
        <v>5</v>
      </c>
      <c r="C129" s="59"/>
      <c r="D129" s="49">
        <v>0.03</v>
      </c>
      <c r="E129" s="46">
        <f t="shared" ref="E129:E152" si="2">C129*D129</f>
        <v>0</v>
      </c>
    </row>
    <row r="130" spans="1:5" ht="20.5" customHeight="1" x14ac:dyDescent="0.2">
      <c r="A130" s="2" t="s">
        <v>10</v>
      </c>
      <c r="B130" s="15" t="s">
        <v>5</v>
      </c>
      <c r="C130" s="59"/>
      <c r="D130" s="49">
        <v>0.03</v>
      </c>
      <c r="E130" s="46">
        <f t="shared" si="2"/>
        <v>0</v>
      </c>
    </row>
    <row r="131" spans="1:5" ht="20.5" customHeight="1" x14ac:dyDescent="0.2">
      <c r="A131" s="2" t="s">
        <v>11</v>
      </c>
      <c r="B131" s="15" t="s">
        <v>5</v>
      </c>
      <c r="C131" s="59"/>
      <c r="D131" s="49">
        <v>0.03</v>
      </c>
      <c r="E131" s="46">
        <f t="shared" si="2"/>
        <v>0</v>
      </c>
    </row>
    <row r="132" spans="1:5" ht="20.5" customHeight="1" x14ac:dyDescent="0.2">
      <c r="A132" s="2" t="s">
        <v>12</v>
      </c>
      <c r="B132" s="15" t="s">
        <v>5</v>
      </c>
      <c r="C132" s="59"/>
      <c r="D132" s="49">
        <v>0.03</v>
      </c>
      <c r="E132" s="46">
        <f t="shared" si="2"/>
        <v>0</v>
      </c>
    </row>
    <row r="133" spans="1:5" ht="20.5" customHeight="1" x14ac:dyDescent="0.2">
      <c r="A133" s="2" t="s">
        <v>13</v>
      </c>
      <c r="B133" s="15" t="s">
        <v>5</v>
      </c>
      <c r="C133" s="59"/>
      <c r="D133" s="49">
        <v>0.03</v>
      </c>
      <c r="E133" s="46">
        <f t="shared" si="2"/>
        <v>0</v>
      </c>
    </row>
    <row r="134" spans="1:5" ht="20.5" customHeight="1" x14ac:dyDescent="0.2">
      <c r="A134" s="2" t="s">
        <v>14</v>
      </c>
      <c r="B134" s="15" t="s">
        <v>5</v>
      </c>
      <c r="C134" s="59"/>
      <c r="D134" s="49">
        <v>0.05</v>
      </c>
      <c r="E134" s="46">
        <f t="shared" si="2"/>
        <v>0</v>
      </c>
    </row>
    <row r="135" spans="1:5" ht="20.5" customHeight="1" x14ac:dyDescent="0.2">
      <c r="A135" s="2" t="s">
        <v>15</v>
      </c>
      <c r="B135" s="15" t="s">
        <v>5</v>
      </c>
      <c r="C135" s="59"/>
      <c r="D135" s="49">
        <v>0.05</v>
      </c>
      <c r="E135" s="46">
        <f t="shared" si="2"/>
        <v>0</v>
      </c>
    </row>
    <row r="136" spans="1:5" ht="20.5" customHeight="1" x14ac:dyDescent="0.2">
      <c r="A136" s="2" t="s">
        <v>16</v>
      </c>
      <c r="B136" s="15" t="s">
        <v>5</v>
      </c>
      <c r="C136" s="59"/>
      <c r="D136" s="49">
        <v>0.05</v>
      </c>
      <c r="E136" s="46">
        <f t="shared" si="2"/>
        <v>0</v>
      </c>
    </row>
    <row r="137" spans="1:5" ht="20.5" customHeight="1" x14ac:dyDescent="0.2">
      <c r="A137" s="2" t="s">
        <v>17</v>
      </c>
      <c r="B137" s="15" t="s">
        <v>5</v>
      </c>
      <c r="C137" s="59"/>
      <c r="D137" s="49">
        <v>0.05</v>
      </c>
      <c r="E137" s="46">
        <f t="shared" si="2"/>
        <v>0</v>
      </c>
    </row>
    <row r="138" spans="1:5" ht="20.5" customHeight="1" x14ac:dyDescent="0.2">
      <c r="A138" s="2" t="s">
        <v>18</v>
      </c>
      <c r="B138" s="15" t="s">
        <v>5</v>
      </c>
      <c r="C138" s="59"/>
      <c r="D138" s="49">
        <v>0.05</v>
      </c>
      <c r="E138" s="46">
        <f t="shared" si="2"/>
        <v>0</v>
      </c>
    </row>
    <row r="139" spans="1:5" ht="20.5" customHeight="1" x14ac:dyDescent="0.2">
      <c r="A139" s="2" t="s">
        <v>19</v>
      </c>
      <c r="B139" s="15" t="s">
        <v>5</v>
      </c>
      <c r="C139" s="59"/>
      <c r="D139" s="49">
        <v>0.05</v>
      </c>
      <c r="E139" s="46">
        <f t="shared" si="2"/>
        <v>0</v>
      </c>
    </row>
    <row r="140" spans="1:5" ht="20.5" customHeight="1" x14ac:dyDescent="0.2">
      <c r="A140" s="2" t="s">
        <v>20</v>
      </c>
      <c r="B140" s="15" t="s">
        <v>5</v>
      </c>
      <c r="C140" s="59"/>
      <c r="D140" s="49">
        <v>0.08</v>
      </c>
      <c r="E140" s="46">
        <f t="shared" si="2"/>
        <v>0</v>
      </c>
    </row>
    <row r="141" spans="1:5" ht="20.5" customHeight="1" x14ac:dyDescent="0.2">
      <c r="A141" s="2" t="s">
        <v>21</v>
      </c>
      <c r="B141" s="15" t="s">
        <v>5</v>
      </c>
      <c r="C141" s="59">
        <v>2</v>
      </c>
      <c r="D141" s="49">
        <v>0.08</v>
      </c>
      <c r="E141" s="46">
        <f t="shared" si="2"/>
        <v>0.16</v>
      </c>
    </row>
    <row r="142" spans="1:5" ht="20.5" customHeight="1" x14ac:dyDescent="0.2">
      <c r="A142" s="2" t="s">
        <v>22</v>
      </c>
      <c r="B142" s="15" t="s">
        <v>5</v>
      </c>
      <c r="C142" s="59"/>
      <c r="D142" s="49">
        <v>0.08</v>
      </c>
      <c r="E142" s="46">
        <f t="shared" si="2"/>
        <v>0</v>
      </c>
    </row>
    <row r="143" spans="1:5" ht="20.5" customHeight="1" x14ac:dyDescent="0.2">
      <c r="A143" s="2" t="s">
        <v>23</v>
      </c>
      <c r="B143" s="15" t="s">
        <v>5</v>
      </c>
      <c r="C143" s="59"/>
      <c r="D143" s="49">
        <v>0.08</v>
      </c>
      <c r="E143" s="46">
        <f t="shared" si="2"/>
        <v>0</v>
      </c>
    </row>
    <row r="144" spans="1:5" ht="20.5" customHeight="1" x14ac:dyDescent="0.2">
      <c r="A144" s="2" t="s">
        <v>24</v>
      </c>
      <c r="B144" s="15" t="s">
        <v>5</v>
      </c>
      <c r="C144" s="59"/>
      <c r="D144" s="49">
        <v>0.08</v>
      </c>
      <c r="E144" s="46">
        <f t="shared" si="2"/>
        <v>0</v>
      </c>
    </row>
    <row r="145" spans="1:7" ht="20.5" customHeight="1" x14ac:dyDescent="0.2">
      <c r="A145" s="2" t="s">
        <v>25</v>
      </c>
      <c r="B145" s="15" t="s">
        <v>5</v>
      </c>
      <c r="C145" s="59"/>
      <c r="D145" s="49">
        <v>0.08</v>
      </c>
      <c r="E145" s="46">
        <f t="shared" si="2"/>
        <v>0</v>
      </c>
    </row>
    <row r="146" spans="1:7" ht="20.5" customHeight="1" x14ac:dyDescent="0.2">
      <c r="A146" s="2" t="s">
        <v>26</v>
      </c>
      <c r="B146" s="15" t="s">
        <v>5</v>
      </c>
      <c r="C146" s="59"/>
      <c r="D146" s="49">
        <v>0.08</v>
      </c>
      <c r="E146" s="46">
        <f t="shared" si="2"/>
        <v>0</v>
      </c>
    </row>
    <row r="147" spans="1:7" ht="20.5" customHeight="1" x14ac:dyDescent="0.2">
      <c r="A147" s="2" t="s">
        <v>27</v>
      </c>
      <c r="B147" s="15" t="s">
        <v>5</v>
      </c>
      <c r="C147" s="59"/>
      <c r="D147" s="49">
        <v>0.08</v>
      </c>
      <c r="E147" s="46">
        <f t="shared" si="2"/>
        <v>0</v>
      </c>
    </row>
    <row r="148" spans="1:7" ht="20.5" customHeight="1" x14ac:dyDescent="0.2">
      <c r="A148" s="2" t="s">
        <v>28</v>
      </c>
      <c r="B148" s="15" t="s">
        <v>5</v>
      </c>
      <c r="C148" s="59"/>
      <c r="D148" s="49">
        <v>0.08</v>
      </c>
      <c r="E148" s="46">
        <f t="shared" si="2"/>
        <v>0</v>
      </c>
    </row>
    <row r="149" spans="1:7" ht="20.5" customHeight="1" x14ac:dyDescent="0.2">
      <c r="A149" s="2" t="s">
        <v>29</v>
      </c>
      <c r="B149" s="15" t="s">
        <v>5</v>
      </c>
      <c r="C149" s="59"/>
      <c r="D149" s="49">
        <v>0.1</v>
      </c>
      <c r="E149" s="46">
        <f t="shared" si="2"/>
        <v>0</v>
      </c>
    </row>
    <row r="150" spans="1:7" ht="20.5" customHeight="1" x14ac:dyDescent="0.2">
      <c r="A150" s="2" t="s">
        <v>30</v>
      </c>
      <c r="B150" s="15" t="s">
        <v>5</v>
      </c>
      <c r="C150" s="59">
        <v>1</v>
      </c>
      <c r="D150" s="49">
        <v>0.12</v>
      </c>
      <c r="E150" s="46">
        <f t="shared" si="2"/>
        <v>0.12</v>
      </c>
    </row>
    <row r="151" spans="1:7" ht="20.5" customHeight="1" x14ac:dyDescent="0.2">
      <c r="A151" s="2" t="s">
        <v>31</v>
      </c>
      <c r="B151" s="16" t="s">
        <v>32</v>
      </c>
      <c r="C151" s="59">
        <v>4</v>
      </c>
      <c r="D151" s="49">
        <v>0.25</v>
      </c>
      <c r="E151" s="46">
        <f t="shared" si="2"/>
        <v>1</v>
      </c>
    </row>
    <row r="152" spans="1:7" ht="20.5" customHeight="1" x14ac:dyDescent="0.2">
      <c r="A152" s="2" t="s">
        <v>33</v>
      </c>
      <c r="B152" s="26" t="s">
        <v>34</v>
      </c>
      <c r="C152" s="62"/>
      <c r="D152" s="49">
        <v>0.25</v>
      </c>
      <c r="E152" s="46">
        <f t="shared" si="2"/>
        <v>0</v>
      </c>
    </row>
    <row r="153" spans="1:7" ht="20.5" customHeight="1" x14ac:dyDescent="0.2">
      <c r="A153"/>
      <c r="B153"/>
      <c r="E153" s="54">
        <f>SUM(E128:E152)</f>
        <v>1.28</v>
      </c>
    </row>
    <row r="155" spans="1:7" ht="20.5" customHeight="1" x14ac:dyDescent="0.25">
      <c r="A155" s="6" t="s">
        <v>35</v>
      </c>
      <c r="B155" s="12" t="s">
        <v>7</v>
      </c>
      <c r="C155" s="57" t="s">
        <v>2</v>
      </c>
      <c r="D155" s="47" t="s">
        <v>3</v>
      </c>
      <c r="E155" s="47" t="s">
        <v>163</v>
      </c>
    </row>
    <row r="156" spans="1:7" ht="20.5" customHeight="1" x14ac:dyDescent="0.25">
      <c r="A156" s="10"/>
      <c r="B156" s="25" t="s">
        <v>36</v>
      </c>
      <c r="C156" s="58"/>
      <c r="D156" s="48"/>
    </row>
    <row r="157" spans="1:7" ht="20.5" customHeight="1" x14ac:dyDescent="0.2">
      <c r="A157" s="2" t="s">
        <v>37</v>
      </c>
      <c r="B157" s="16" t="s">
        <v>38</v>
      </c>
      <c r="C157" s="59"/>
      <c r="D157" s="49">
        <v>0.44</v>
      </c>
      <c r="E157" s="46">
        <f>D157*C157</f>
        <v>0</v>
      </c>
    </row>
    <row r="158" spans="1:7" ht="20.5" customHeight="1" x14ac:dyDescent="0.2">
      <c r="A158" s="2" t="s">
        <v>39</v>
      </c>
      <c r="B158" s="16" t="s">
        <v>146</v>
      </c>
      <c r="C158" s="59"/>
      <c r="D158" s="49">
        <v>0.44</v>
      </c>
      <c r="E158" s="46">
        <f t="shared" ref="E158:E161" si="3">D158*C158</f>
        <v>0</v>
      </c>
      <c r="F158"/>
      <c r="G158"/>
    </row>
    <row r="159" spans="1:7" ht="20.5" customHeight="1" x14ac:dyDescent="0.2">
      <c r="A159" s="2" t="s">
        <v>40</v>
      </c>
      <c r="B159" s="16" t="s">
        <v>146</v>
      </c>
      <c r="C159" s="59"/>
      <c r="D159" s="49">
        <v>0.55000000000000004</v>
      </c>
      <c r="E159" s="46">
        <f t="shared" si="3"/>
        <v>0</v>
      </c>
    </row>
    <row r="160" spans="1:7" ht="20.5" customHeight="1" x14ac:dyDescent="0.2">
      <c r="A160" s="2" t="s">
        <v>41</v>
      </c>
      <c r="B160" s="16" t="s">
        <v>146</v>
      </c>
      <c r="C160" s="59"/>
      <c r="D160" s="49">
        <v>0.55000000000000004</v>
      </c>
      <c r="E160" s="46">
        <f t="shared" si="3"/>
        <v>0</v>
      </c>
    </row>
    <row r="161" spans="1:7" ht="20.5" customHeight="1" x14ac:dyDescent="0.2">
      <c r="A161" s="2" t="s">
        <v>42</v>
      </c>
      <c r="B161" s="16" t="s">
        <v>146</v>
      </c>
      <c r="C161" s="59">
        <v>1</v>
      </c>
      <c r="D161" s="49">
        <v>0.44</v>
      </c>
      <c r="E161" s="46">
        <f t="shared" si="3"/>
        <v>0.44</v>
      </c>
    </row>
    <row r="162" spans="1:7" ht="20.5" customHeight="1" x14ac:dyDescent="0.2">
      <c r="E162" s="54">
        <f>SUM(E157:E161)</f>
        <v>0.44</v>
      </c>
    </row>
    <row r="164" spans="1:7" ht="20.5" customHeight="1" x14ac:dyDescent="0.25">
      <c r="A164" s="6" t="s">
        <v>43</v>
      </c>
      <c r="B164" s="12" t="s">
        <v>7</v>
      </c>
      <c r="C164" s="57" t="s">
        <v>2</v>
      </c>
      <c r="D164" s="47" t="s">
        <v>3</v>
      </c>
      <c r="E164" s="47" t="s">
        <v>163</v>
      </c>
    </row>
    <row r="165" spans="1:7" ht="20.5" customHeight="1" x14ac:dyDescent="0.25">
      <c r="A165" s="10"/>
      <c r="B165" s="13"/>
      <c r="C165" s="58"/>
      <c r="D165" s="48"/>
    </row>
    <row r="166" spans="1:7" ht="20.5" customHeight="1" x14ac:dyDescent="0.2">
      <c r="A166" s="2" t="s">
        <v>44</v>
      </c>
      <c r="B166" s="2" t="s">
        <v>45</v>
      </c>
      <c r="C166" s="59"/>
      <c r="D166" s="49">
        <v>0.2</v>
      </c>
      <c r="E166" s="46">
        <f>C166*D166</f>
        <v>0</v>
      </c>
      <c r="G166" s="28"/>
    </row>
    <row r="167" spans="1:7" ht="20.5" customHeight="1" x14ac:dyDescent="0.2">
      <c r="A167" s="2" t="s">
        <v>46</v>
      </c>
      <c r="B167" s="2" t="s">
        <v>45</v>
      </c>
      <c r="C167" s="59">
        <v>2</v>
      </c>
      <c r="D167" s="49">
        <v>0.45</v>
      </c>
      <c r="E167" s="46">
        <f t="shared" ref="E167:E170" si="4">C167*D167</f>
        <v>0.9</v>
      </c>
      <c r="G167" s="28"/>
    </row>
    <row r="168" spans="1:7" ht="20.5" customHeight="1" x14ac:dyDescent="0.2">
      <c r="A168" s="2" t="s">
        <v>47</v>
      </c>
      <c r="B168" s="2" t="s">
        <v>45</v>
      </c>
      <c r="C168" s="59"/>
      <c r="D168" s="49">
        <v>0.36</v>
      </c>
      <c r="E168" s="46">
        <f t="shared" si="4"/>
        <v>0</v>
      </c>
    </row>
    <row r="169" spans="1:7" ht="20.5" customHeight="1" x14ac:dyDescent="0.2">
      <c r="A169" s="1" t="s">
        <v>48</v>
      </c>
      <c r="B169" s="2" t="s">
        <v>45</v>
      </c>
      <c r="C169" s="59"/>
      <c r="D169" s="49">
        <v>0.33</v>
      </c>
      <c r="E169" s="46">
        <f t="shared" si="4"/>
        <v>0</v>
      </c>
    </row>
    <row r="170" spans="1:7" ht="20.5" customHeight="1" x14ac:dyDescent="0.2">
      <c r="A170" s="2" t="s">
        <v>49</v>
      </c>
      <c r="B170" s="2" t="s">
        <v>50</v>
      </c>
      <c r="C170" s="62"/>
      <c r="D170" s="49">
        <v>0.2</v>
      </c>
      <c r="E170" s="46">
        <f t="shared" si="4"/>
        <v>0</v>
      </c>
      <c r="G170" s="28"/>
    </row>
    <row r="171" spans="1:7" ht="20.5" customHeight="1" x14ac:dyDescent="0.2">
      <c r="E171" s="54">
        <f>SUM(E166:E170)</f>
        <v>0.9</v>
      </c>
    </row>
    <row r="173" spans="1:7" ht="20.5" customHeight="1" x14ac:dyDescent="0.25">
      <c r="A173" s="6" t="s">
        <v>51</v>
      </c>
      <c r="B173" s="12" t="s">
        <v>7</v>
      </c>
      <c r="C173" s="57" t="s">
        <v>2</v>
      </c>
      <c r="D173" s="47" t="s">
        <v>3</v>
      </c>
      <c r="E173" s="47" t="s">
        <v>163</v>
      </c>
    </row>
    <row r="174" spans="1:7" ht="20.5" customHeight="1" x14ac:dyDescent="0.25">
      <c r="A174" s="10"/>
      <c r="B174"/>
      <c r="C174" s="58"/>
      <c r="D174" s="48"/>
    </row>
    <row r="175" spans="1:7" ht="20.5" customHeight="1" x14ac:dyDescent="0.2">
      <c r="A175" s="2" t="s">
        <v>52</v>
      </c>
      <c r="B175" s="15" t="s">
        <v>5</v>
      </c>
      <c r="C175" s="59"/>
      <c r="D175" s="49">
        <v>0.12</v>
      </c>
      <c r="E175" s="46">
        <f>C175*D175</f>
        <v>0</v>
      </c>
      <c r="G175" s="29"/>
    </row>
    <row r="176" spans="1:7" ht="20.5" customHeight="1" x14ac:dyDescent="0.2">
      <c r="A176" s="2" t="s">
        <v>53</v>
      </c>
      <c r="B176" s="15" t="s">
        <v>5</v>
      </c>
      <c r="C176" s="59"/>
      <c r="D176" s="49">
        <v>0.12</v>
      </c>
      <c r="E176" s="46">
        <f>C176*D176</f>
        <v>0</v>
      </c>
      <c r="G176" s="29"/>
    </row>
    <row r="177" spans="1:11" ht="20.5" customHeight="1" x14ac:dyDescent="0.2">
      <c r="A177"/>
      <c r="B177"/>
      <c r="C177" s="60"/>
      <c r="D177" s="50"/>
      <c r="E177" s="46">
        <f>SUM(E175:E176)</f>
        <v>0</v>
      </c>
    </row>
    <row r="178" spans="1:11" ht="20.5" customHeight="1" x14ac:dyDescent="0.2">
      <c r="A178"/>
      <c r="B178"/>
      <c r="C178" s="61"/>
      <c r="D178" s="51"/>
    </row>
    <row r="179" spans="1:11" ht="20.5" customHeight="1" x14ac:dyDescent="0.25">
      <c r="A179" s="7" t="s">
        <v>54</v>
      </c>
      <c r="B179" s="17" t="s">
        <v>7</v>
      </c>
      <c r="C179" s="57" t="s">
        <v>2</v>
      </c>
      <c r="D179" s="47" t="s">
        <v>3</v>
      </c>
      <c r="E179" s="47" t="s">
        <v>163</v>
      </c>
    </row>
    <row r="180" spans="1:11" ht="20.5" customHeight="1" x14ac:dyDescent="0.2">
      <c r="A180" s="8"/>
      <c r="B180" s="18"/>
      <c r="C180" s="58"/>
      <c r="D180" s="48"/>
    </row>
    <row r="181" spans="1:11" ht="20.5" customHeight="1" x14ac:dyDescent="0.25">
      <c r="A181" s="11" t="s">
        <v>55</v>
      </c>
      <c r="B181" s="19"/>
      <c r="C181" s="63"/>
      <c r="D181" s="49"/>
    </row>
    <row r="182" spans="1:11" ht="20.5" customHeight="1" x14ac:dyDescent="0.2">
      <c r="A182" s="9" t="s">
        <v>56</v>
      </c>
      <c r="B182" s="20"/>
      <c r="C182" s="63"/>
      <c r="D182" s="49"/>
    </row>
    <row r="183" spans="1:11" ht="20.5" customHeight="1" x14ac:dyDescent="0.2">
      <c r="A183" s="2" t="s">
        <v>57</v>
      </c>
      <c r="B183" s="15" t="s">
        <v>58</v>
      </c>
      <c r="C183" s="59">
        <v>4</v>
      </c>
      <c r="D183" s="49">
        <v>0.2</v>
      </c>
      <c r="E183" s="46">
        <f>C183*D183</f>
        <v>0.8</v>
      </c>
      <c r="G183" s="29"/>
    </row>
    <row r="184" spans="1:11" ht="20.5" customHeight="1" x14ac:dyDescent="0.2">
      <c r="A184" s="4" t="s">
        <v>59</v>
      </c>
      <c r="B184" s="21"/>
      <c r="C184" s="63"/>
      <c r="D184" s="49"/>
      <c r="E184" s="46">
        <f t="shared" ref="E184:E189" si="5">C184*D184</f>
        <v>0</v>
      </c>
    </row>
    <row r="185" spans="1:11" ht="20.5" customHeight="1" x14ac:dyDescent="0.2">
      <c r="A185" s="2" t="s">
        <v>60</v>
      </c>
      <c r="B185" s="15" t="s">
        <v>58</v>
      </c>
      <c r="C185" s="59"/>
      <c r="D185" s="49">
        <v>0.19</v>
      </c>
      <c r="E185" s="46">
        <f t="shared" si="5"/>
        <v>0</v>
      </c>
      <c r="G185" s="29"/>
    </row>
    <row r="186" spans="1:11" ht="20.5" customHeight="1" x14ac:dyDescent="0.2">
      <c r="A186" s="3"/>
      <c r="B186" s="22"/>
      <c r="C186" s="63"/>
      <c r="D186" s="49"/>
      <c r="E186" s="46">
        <f t="shared" si="5"/>
        <v>0</v>
      </c>
    </row>
    <row r="187" spans="1:11" ht="20.5" customHeight="1" x14ac:dyDescent="0.25">
      <c r="A187" s="11" t="s">
        <v>61</v>
      </c>
      <c r="B187" s="19"/>
      <c r="C187" s="63"/>
      <c r="D187" s="49"/>
      <c r="E187" s="46">
        <f t="shared" si="5"/>
        <v>0</v>
      </c>
    </row>
    <row r="188" spans="1:11" ht="20.5" customHeight="1" x14ac:dyDescent="0.2">
      <c r="A188" s="9" t="s">
        <v>147</v>
      </c>
      <c r="B188" s="20"/>
      <c r="C188" s="63"/>
      <c r="D188" s="49"/>
      <c r="E188" s="46">
        <f t="shared" si="5"/>
        <v>0</v>
      </c>
    </row>
    <row r="189" spans="1:11" ht="20.5" customHeight="1" x14ac:dyDescent="0.2">
      <c r="A189" s="2" t="s">
        <v>62</v>
      </c>
      <c r="B189" s="22" t="s">
        <v>63</v>
      </c>
      <c r="C189" s="59"/>
      <c r="D189" s="49">
        <v>0.39</v>
      </c>
      <c r="E189" s="46">
        <f t="shared" si="5"/>
        <v>0</v>
      </c>
      <c r="F189"/>
      <c r="G189"/>
      <c r="I189"/>
      <c r="J189"/>
      <c r="K189"/>
    </row>
    <row r="190" spans="1:11" ht="20.5" customHeight="1" x14ac:dyDescent="0.2">
      <c r="C190" s="60"/>
      <c r="D190" s="50"/>
      <c r="E190" s="54">
        <f>SUM(E183:E189)</f>
        <v>0.8</v>
      </c>
    </row>
    <row r="191" spans="1:11" ht="20.5" customHeight="1" x14ac:dyDescent="0.2">
      <c r="C191" s="61"/>
      <c r="D191" s="51"/>
    </row>
    <row r="192" spans="1:11" ht="20.5" customHeight="1" x14ac:dyDescent="0.25">
      <c r="A192" s="6" t="s">
        <v>152</v>
      </c>
      <c r="B192" s="12" t="s">
        <v>7</v>
      </c>
      <c r="C192" s="57" t="s">
        <v>2</v>
      </c>
      <c r="D192" s="47" t="s">
        <v>3</v>
      </c>
      <c r="E192" s="47" t="s">
        <v>163</v>
      </c>
    </row>
    <row r="193" spans="1:5" ht="20.5" customHeight="1" x14ac:dyDescent="0.2">
      <c r="A193" s="5"/>
      <c r="B193" s="23"/>
      <c r="C193" s="58"/>
      <c r="D193" s="48"/>
    </row>
    <row r="194" spans="1:5" ht="20.5" customHeight="1" x14ac:dyDescent="0.2">
      <c r="A194" s="2" t="s">
        <v>149</v>
      </c>
      <c r="B194" s="22" t="s">
        <v>63</v>
      </c>
      <c r="C194" s="59"/>
      <c r="D194" s="49">
        <v>0.56000000000000005</v>
      </c>
      <c r="E194" s="46">
        <f>C194*D194</f>
        <v>0</v>
      </c>
    </row>
    <row r="195" spans="1:5" ht="20.5" customHeight="1" x14ac:dyDescent="0.2">
      <c r="A195" s="3" t="s">
        <v>148</v>
      </c>
      <c r="B195" s="3" t="s">
        <v>63</v>
      </c>
      <c r="C195" s="62"/>
      <c r="D195" s="49">
        <v>0.69</v>
      </c>
      <c r="E195" s="46">
        <f t="shared" ref="E195:E203" si="6">C195*D195</f>
        <v>0</v>
      </c>
    </row>
    <row r="196" spans="1:5" ht="20.5" customHeight="1" x14ac:dyDescent="0.2">
      <c r="A196" s="3" t="s">
        <v>64</v>
      </c>
      <c r="B196" s="22" t="s">
        <v>63</v>
      </c>
      <c r="C196" s="59">
        <v>2</v>
      </c>
      <c r="D196" s="49">
        <v>1.1299999999999999</v>
      </c>
      <c r="E196" s="46">
        <f t="shared" si="6"/>
        <v>2.2599999999999998</v>
      </c>
    </row>
    <row r="197" spans="1:5" ht="20.5" customHeight="1" x14ac:dyDescent="0.2">
      <c r="A197" s="3" t="s">
        <v>65</v>
      </c>
      <c r="B197" s="22" t="s">
        <v>63</v>
      </c>
      <c r="C197" s="59"/>
      <c r="D197" s="49">
        <v>1.0900000000000001</v>
      </c>
      <c r="E197" s="46">
        <f t="shared" si="6"/>
        <v>0</v>
      </c>
    </row>
    <row r="198" spans="1:5" ht="20.5" customHeight="1" x14ac:dyDescent="0.2">
      <c r="A198" s="3" t="s">
        <v>66</v>
      </c>
      <c r="B198" s="22" t="s">
        <v>67</v>
      </c>
      <c r="C198" s="59"/>
      <c r="D198" s="49">
        <v>0.68</v>
      </c>
      <c r="E198" s="46">
        <f t="shared" si="6"/>
        <v>0</v>
      </c>
    </row>
    <row r="199" spans="1:5" ht="20.5" customHeight="1" x14ac:dyDescent="0.2">
      <c r="A199" s="3" t="s">
        <v>68</v>
      </c>
      <c r="B199" s="22" t="s">
        <v>69</v>
      </c>
      <c r="C199" s="59"/>
      <c r="D199" s="49">
        <v>0.32</v>
      </c>
      <c r="E199" s="46">
        <f t="shared" si="6"/>
        <v>0</v>
      </c>
    </row>
    <row r="200" spans="1:5" ht="20.5" customHeight="1" x14ac:dyDescent="0.2">
      <c r="A200" s="3" t="s">
        <v>70</v>
      </c>
      <c r="B200" s="22" t="s">
        <v>69</v>
      </c>
      <c r="C200" s="59"/>
      <c r="D200" s="49">
        <v>0.39</v>
      </c>
      <c r="E200" s="46">
        <f t="shared" si="6"/>
        <v>0</v>
      </c>
    </row>
    <row r="201" spans="1:5" ht="20.5" customHeight="1" x14ac:dyDescent="0.2">
      <c r="A201" s="3" t="s">
        <v>156</v>
      </c>
      <c r="B201" s="3" t="s">
        <v>151</v>
      </c>
      <c r="C201" s="62"/>
      <c r="D201" s="49">
        <v>0.66</v>
      </c>
      <c r="E201" s="46">
        <f t="shared" si="6"/>
        <v>0</v>
      </c>
    </row>
    <row r="202" spans="1:5" ht="20.5" customHeight="1" x14ac:dyDescent="0.2">
      <c r="A202" s="3" t="s">
        <v>157</v>
      </c>
      <c r="B202" s="3" t="s">
        <v>151</v>
      </c>
      <c r="C202" s="62"/>
      <c r="D202" s="49">
        <v>0.83</v>
      </c>
      <c r="E202" s="46">
        <f t="shared" si="6"/>
        <v>0</v>
      </c>
    </row>
    <row r="203" spans="1:5" ht="20.5" customHeight="1" x14ac:dyDescent="0.2">
      <c r="A203" s="3" t="s">
        <v>158</v>
      </c>
      <c r="B203" s="3" t="s">
        <v>153</v>
      </c>
      <c r="C203" s="62"/>
      <c r="D203" s="49">
        <v>1.97</v>
      </c>
      <c r="E203" s="46">
        <f t="shared" si="6"/>
        <v>0</v>
      </c>
    </row>
    <row r="204" spans="1:5" ht="20.5" customHeight="1" x14ac:dyDescent="0.2">
      <c r="E204" s="54">
        <f>SUM(E194:E203)</f>
        <v>2.2599999999999998</v>
      </c>
    </row>
    <row r="206" spans="1:5" ht="20.5" customHeight="1" x14ac:dyDescent="0.25">
      <c r="A206" s="27" t="s">
        <v>71</v>
      </c>
      <c r="B206" s="3"/>
      <c r="C206" s="64" t="s">
        <v>2</v>
      </c>
      <c r="D206" s="52" t="s">
        <v>3</v>
      </c>
      <c r="E206" s="47" t="s">
        <v>163</v>
      </c>
    </row>
    <row r="207" spans="1:5" ht="20.5" customHeight="1" x14ac:dyDescent="0.2">
      <c r="A207" s="3"/>
      <c r="B207" s="3"/>
      <c r="C207" s="65"/>
      <c r="D207" s="49"/>
    </row>
    <row r="208" spans="1:5" ht="20.5" customHeight="1" x14ac:dyDescent="0.2">
      <c r="A208" s="3" t="s">
        <v>72</v>
      </c>
      <c r="B208" s="26" t="s">
        <v>155</v>
      </c>
      <c r="C208" s="62">
        <v>1</v>
      </c>
      <c r="D208" s="49">
        <v>0.43</v>
      </c>
      <c r="E208">
        <f>D208*C208</f>
        <v>0.43</v>
      </c>
    </row>
    <row r="209" spans="3:5" customFormat="1" ht="20.5" customHeight="1" x14ac:dyDescent="0.2">
      <c r="C209" s="55"/>
      <c r="D209" s="46"/>
      <c r="E209" s="54">
        <f>SUM(E208)</f>
        <v>0.43</v>
      </c>
    </row>
    <row r="211" spans="3:5" ht="20.5" customHeight="1" x14ac:dyDescent="0.2">
      <c r="D211" s="53" t="s">
        <v>164</v>
      </c>
      <c r="E211" s="53">
        <v>6.24</v>
      </c>
    </row>
  </sheetData>
  <hyperlinks>
    <hyperlink ref="B151" r:id="rId1" xr:uid="{82FD2BD2-7BAA-4514-9F3F-CB2C7C8DE917}"/>
    <hyperlink ref="B152" r:id="rId2" xr:uid="{3FFD0DEF-31FE-4E26-ACF1-9354D7F45D86}"/>
    <hyperlink ref="B157" r:id="rId3" xr:uid="{6323E7F9-1D17-4B3E-A328-F7BEDFD19037}"/>
    <hyperlink ref="B208" r:id="rId4" display="Connector-header-6pos-2-54mm-1row" xr:uid="{14F75E56-CFBC-45C1-B4E9-1760C51C127D}"/>
  </hyperlinks>
  <pageMargins left="0.7" right="0.7" top="0.75" bottom="0.75" header="0.3" footer="0.3"/>
  <pageSetup paperSize="9" orientation="portrait" verticalDpi="18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7B1D-8CBA-43DE-A287-6B1F65FC2D6E}">
  <dimension ref="A1:K211"/>
  <sheetViews>
    <sheetView tabSelected="1" topLeftCell="A204" zoomScaleNormal="100" workbookViewId="0">
      <selection activeCell="E212" sqref="E212"/>
    </sheetView>
  </sheetViews>
  <sheetFormatPr baseColWidth="10" defaultColWidth="9.1640625" defaultRowHeight="20.5" customHeight="1" x14ac:dyDescent="0.2"/>
  <cols>
    <col min="1" max="1" width="26" style="1" customWidth="1"/>
    <col min="2" max="2" width="78.83203125" style="1" customWidth="1"/>
    <col min="3" max="3" width="10.83203125" style="35" customWidth="1"/>
    <col min="4" max="4" width="12.1640625" style="46" customWidth="1"/>
    <col min="5" max="5" width="13.6640625" style="46" customWidth="1"/>
    <col min="6" max="7" width="16.1640625" style="30" customWidth="1"/>
    <col min="9" max="16384" width="9.1640625" style="1"/>
  </cols>
  <sheetData>
    <row r="1" spans="1:5" ht="20.5" customHeight="1" x14ac:dyDescent="0.25">
      <c r="A1" s="33" t="s">
        <v>154</v>
      </c>
      <c r="B1" s="34" t="s">
        <v>150</v>
      </c>
    </row>
    <row r="2" spans="1:5" ht="20.5" customHeight="1" x14ac:dyDescent="0.2">
      <c r="C2" s="40"/>
    </row>
    <row r="3" spans="1:5" ht="20.5" customHeight="1" x14ac:dyDescent="0.25">
      <c r="A3" s="6" t="s">
        <v>0</v>
      </c>
      <c r="B3" s="12" t="s">
        <v>1</v>
      </c>
      <c r="C3" s="41" t="s">
        <v>2</v>
      </c>
      <c r="D3" s="47" t="s">
        <v>3</v>
      </c>
      <c r="E3" s="47" t="s">
        <v>163</v>
      </c>
    </row>
    <row r="4" spans="1:5" ht="20.5" customHeight="1" x14ac:dyDescent="0.25">
      <c r="A4" s="32" t="s">
        <v>145</v>
      </c>
      <c r="B4" s="13"/>
      <c r="C4" s="42"/>
      <c r="D4" s="48"/>
    </row>
    <row r="5" spans="1:5" ht="20.5" customHeight="1" x14ac:dyDescent="0.2">
      <c r="A5" s="24" t="s">
        <v>4</v>
      </c>
      <c r="B5" s="14" t="s">
        <v>5</v>
      </c>
      <c r="C5" s="43"/>
      <c r="D5" s="49">
        <v>0.01</v>
      </c>
      <c r="E5" s="46">
        <f>C5*D5</f>
        <v>0</v>
      </c>
    </row>
    <row r="6" spans="1:5" ht="20.5" customHeight="1" x14ac:dyDescent="0.2">
      <c r="A6" s="31" t="s">
        <v>144</v>
      </c>
      <c r="B6" s="14" t="s">
        <v>5</v>
      </c>
      <c r="C6" s="43"/>
      <c r="D6" s="49">
        <v>0.01</v>
      </c>
      <c r="E6" s="46">
        <f t="shared" ref="E6:E69" si="0">C6*D6</f>
        <v>0</v>
      </c>
    </row>
    <row r="7" spans="1:5" ht="20.5" customHeight="1" x14ac:dyDescent="0.2">
      <c r="A7" s="31" t="s">
        <v>143</v>
      </c>
      <c r="B7" s="14" t="s">
        <v>5</v>
      </c>
      <c r="C7" s="43"/>
      <c r="D7" s="49">
        <v>0.01</v>
      </c>
      <c r="E7" s="46">
        <f t="shared" si="0"/>
        <v>0</v>
      </c>
    </row>
    <row r="8" spans="1:5" ht="20.5" customHeight="1" x14ac:dyDescent="0.2">
      <c r="A8" s="24">
        <v>10</v>
      </c>
      <c r="B8" s="14" t="s">
        <v>5</v>
      </c>
      <c r="C8" s="43"/>
      <c r="D8" s="49">
        <v>0.01</v>
      </c>
      <c r="E8" s="46">
        <f t="shared" si="0"/>
        <v>0</v>
      </c>
    </row>
    <row r="9" spans="1:5" ht="20.5" customHeight="1" x14ac:dyDescent="0.2">
      <c r="A9" s="24">
        <v>11</v>
      </c>
      <c r="B9" s="14" t="s">
        <v>5</v>
      </c>
      <c r="C9" s="43"/>
      <c r="D9" s="49">
        <v>0.01</v>
      </c>
      <c r="E9" s="46">
        <f t="shared" si="0"/>
        <v>0</v>
      </c>
    </row>
    <row r="10" spans="1:5" ht="20.5" customHeight="1" x14ac:dyDescent="0.2">
      <c r="A10" s="24">
        <v>12</v>
      </c>
      <c r="B10" s="14" t="s">
        <v>5</v>
      </c>
      <c r="C10" s="43"/>
      <c r="D10" s="49">
        <v>0.01</v>
      </c>
      <c r="E10" s="46">
        <f t="shared" si="0"/>
        <v>0</v>
      </c>
    </row>
    <row r="11" spans="1:5" ht="20.5" customHeight="1" x14ac:dyDescent="0.2">
      <c r="A11" s="24">
        <v>15</v>
      </c>
      <c r="B11" s="14" t="s">
        <v>5</v>
      </c>
      <c r="C11" s="43"/>
      <c r="D11" s="49">
        <v>0.01</v>
      </c>
      <c r="E11" s="46">
        <f t="shared" si="0"/>
        <v>0</v>
      </c>
    </row>
    <row r="12" spans="1:5" ht="20.5" customHeight="1" x14ac:dyDescent="0.2">
      <c r="A12" s="24">
        <v>16</v>
      </c>
      <c r="B12" s="14" t="s">
        <v>5</v>
      </c>
      <c r="C12" s="43"/>
      <c r="D12" s="49">
        <v>0.01</v>
      </c>
      <c r="E12" s="46">
        <f t="shared" si="0"/>
        <v>0</v>
      </c>
    </row>
    <row r="13" spans="1:5" ht="20.5" customHeight="1" x14ac:dyDescent="0.2">
      <c r="A13" s="24">
        <v>18</v>
      </c>
      <c r="B13" s="14" t="s">
        <v>5</v>
      </c>
      <c r="C13" s="43"/>
      <c r="D13" s="49">
        <v>0.01</v>
      </c>
      <c r="E13" s="46">
        <f t="shared" si="0"/>
        <v>0</v>
      </c>
    </row>
    <row r="14" spans="1:5" ht="20.5" customHeight="1" x14ac:dyDescent="0.2">
      <c r="A14" s="24">
        <v>20</v>
      </c>
      <c r="B14" s="14" t="s">
        <v>5</v>
      </c>
      <c r="C14" s="43" t="s">
        <v>159</v>
      </c>
      <c r="D14" s="49">
        <v>0.01</v>
      </c>
      <c r="E14" s="46">
        <f t="shared" si="0"/>
        <v>0.01</v>
      </c>
    </row>
    <row r="15" spans="1:5" ht="20.5" customHeight="1" x14ac:dyDescent="0.2">
      <c r="A15" s="24">
        <v>22</v>
      </c>
      <c r="B15" s="14" t="s">
        <v>5</v>
      </c>
      <c r="C15" s="43" t="s">
        <v>159</v>
      </c>
      <c r="D15" s="49">
        <v>0.01</v>
      </c>
      <c r="E15" s="46">
        <f t="shared" si="0"/>
        <v>0.01</v>
      </c>
    </row>
    <row r="16" spans="1:5" ht="20.5" customHeight="1" x14ac:dyDescent="0.2">
      <c r="A16" s="24">
        <v>24</v>
      </c>
      <c r="B16" s="14" t="s">
        <v>5</v>
      </c>
      <c r="C16" s="43"/>
      <c r="D16" s="49">
        <v>0.01</v>
      </c>
      <c r="E16" s="46">
        <f t="shared" si="0"/>
        <v>0</v>
      </c>
    </row>
    <row r="17" spans="1:5" ht="20.5" customHeight="1" x14ac:dyDescent="0.2">
      <c r="A17" s="24">
        <v>27</v>
      </c>
      <c r="B17" s="14" t="s">
        <v>5</v>
      </c>
      <c r="C17" s="43"/>
      <c r="D17" s="49">
        <v>0.01</v>
      </c>
      <c r="E17" s="46">
        <f t="shared" si="0"/>
        <v>0</v>
      </c>
    </row>
    <row r="18" spans="1:5" ht="20.5" customHeight="1" x14ac:dyDescent="0.2">
      <c r="A18" s="24">
        <v>30</v>
      </c>
      <c r="B18" s="14" t="s">
        <v>5</v>
      </c>
      <c r="C18" s="43"/>
      <c r="D18" s="49">
        <v>0.01</v>
      </c>
      <c r="E18" s="46">
        <f t="shared" si="0"/>
        <v>0</v>
      </c>
    </row>
    <row r="19" spans="1:5" ht="20.5" customHeight="1" x14ac:dyDescent="0.2">
      <c r="A19" s="24">
        <v>33</v>
      </c>
      <c r="B19" s="14" t="s">
        <v>5</v>
      </c>
      <c r="C19" s="43"/>
      <c r="D19" s="49">
        <v>0.01</v>
      </c>
      <c r="E19" s="46">
        <f t="shared" si="0"/>
        <v>0</v>
      </c>
    </row>
    <row r="20" spans="1:5" ht="20.5" customHeight="1" x14ac:dyDescent="0.2">
      <c r="A20" s="24">
        <v>36</v>
      </c>
      <c r="B20" s="14" t="s">
        <v>5</v>
      </c>
      <c r="C20" s="43"/>
      <c r="D20" s="49">
        <v>0.01</v>
      </c>
      <c r="E20" s="46">
        <f t="shared" si="0"/>
        <v>0</v>
      </c>
    </row>
    <row r="21" spans="1:5" ht="20.5" customHeight="1" x14ac:dyDescent="0.2">
      <c r="A21" s="24">
        <v>39</v>
      </c>
      <c r="B21" s="14" t="s">
        <v>5</v>
      </c>
      <c r="C21" s="43"/>
      <c r="D21" s="49">
        <v>0.01</v>
      </c>
      <c r="E21" s="46">
        <f t="shared" si="0"/>
        <v>0</v>
      </c>
    </row>
    <row r="22" spans="1:5" ht="20.5" customHeight="1" x14ac:dyDescent="0.2">
      <c r="A22" s="24">
        <v>43</v>
      </c>
      <c r="B22" s="14" t="s">
        <v>5</v>
      </c>
      <c r="C22" s="43"/>
      <c r="D22" s="49">
        <v>0.01</v>
      </c>
      <c r="E22" s="46">
        <f t="shared" si="0"/>
        <v>0</v>
      </c>
    </row>
    <row r="23" spans="1:5" ht="20.5" customHeight="1" x14ac:dyDescent="0.2">
      <c r="A23" s="24">
        <v>47</v>
      </c>
      <c r="B23" s="14" t="s">
        <v>5</v>
      </c>
      <c r="C23" s="43"/>
      <c r="D23" s="49">
        <v>0.01</v>
      </c>
      <c r="E23" s="46">
        <f t="shared" si="0"/>
        <v>0</v>
      </c>
    </row>
    <row r="24" spans="1:5" ht="20.5" customHeight="1" x14ac:dyDescent="0.2">
      <c r="A24" s="24">
        <v>51</v>
      </c>
      <c r="B24" s="14" t="s">
        <v>5</v>
      </c>
      <c r="C24" s="43"/>
      <c r="D24" s="49">
        <v>0.01</v>
      </c>
      <c r="E24" s="46">
        <f t="shared" si="0"/>
        <v>0</v>
      </c>
    </row>
    <row r="25" spans="1:5" ht="20.5" customHeight="1" x14ac:dyDescent="0.2">
      <c r="A25" s="24">
        <v>56</v>
      </c>
      <c r="B25" s="14" t="s">
        <v>5</v>
      </c>
      <c r="C25" s="43"/>
      <c r="D25" s="49">
        <v>0.01</v>
      </c>
      <c r="E25" s="46">
        <f t="shared" si="0"/>
        <v>0</v>
      </c>
    </row>
    <row r="26" spans="1:5" ht="20.5" customHeight="1" x14ac:dyDescent="0.2">
      <c r="A26" s="24">
        <v>62</v>
      </c>
      <c r="B26" s="14" t="s">
        <v>5</v>
      </c>
      <c r="C26" s="43"/>
      <c r="D26" s="49">
        <v>0.01</v>
      </c>
      <c r="E26" s="46">
        <f t="shared" si="0"/>
        <v>0</v>
      </c>
    </row>
    <row r="27" spans="1:5" ht="20.5" customHeight="1" x14ac:dyDescent="0.2">
      <c r="A27" s="24">
        <v>68</v>
      </c>
      <c r="B27" s="14" t="s">
        <v>5</v>
      </c>
      <c r="C27" s="43"/>
      <c r="D27" s="49">
        <v>0.01</v>
      </c>
      <c r="E27" s="46">
        <f t="shared" si="0"/>
        <v>0</v>
      </c>
    </row>
    <row r="28" spans="1:5" ht="20.5" customHeight="1" x14ac:dyDescent="0.2">
      <c r="A28" s="24">
        <v>75</v>
      </c>
      <c r="B28" s="14" t="s">
        <v>5</v>
      </c>
      <c r="C28" s="43"/>
      <c r="D28" s="49">
        <v>0.01</v>
      </c>
      <c r="E28" s="46">
        <f t="shared" si="0"/>
        <v>0</v>
      </c>
    </row>
    <row r="29" spans="1:5" ht="20.5" customHeight="1" x14ac:dyDescent="0.2">
      <c r="A29" s="24">
        <v>82</v>
      </c>
      <c r="B29" s="14" t="s">
        <v>5</v>
      </c>
      <c r="C29" s="43"/>
      <c r="D29" s="49">
        <v>0.01</v>
      </c>
      <c r="E29" s="46">
        <f t="shared" si="0"/>
        <v>0</v>
      </c>
    </row>
    <row r="30" spans="1:5" ht="20.5" customHeight="1" x14ac:dyDescent="0.2">
      <c r="A30" s="24">
        <v>91</v>
      </c>
      <c r="B30" s="14" t="s">
        <v>5</v>
      </c>
      <c r="C30" s="43"/>
      <c r="D30" s="49">
        <v>0.01</v>
      </c>
      <c r="E30" s="46">
        <f t="shared" si="0"/>
        <v>0</v>
      </c>
    </row>
    <row r="31" spans="1:5" ht="20.5" customHeight="1" x14ac:dyDescent="0.2">
      <c r="A31" s="24">
        <v>100</v>
      </c>
      <c r="B31" s="14" t="s">
        <v>5</v>
      </c>
      <c r="C31" s="43"/>
      <c r="D31" s="49">
        <v>0.01</v>
      </c>
      <c r="E31" s="46">
        <f t="shared" si="0"/>
        <v>0</v>
      </c>
    </row>
    <row r="32" spans="1:5" ht="20.5" customHeight="1" x14ac:dyDescent="0.2">
      <c r="A32" s="24">
        <v>110</v>
      </c>
      <c r="B32" s="14" t="s">
        <v>5</v>
      </c>
      <c r="C32" s="43"/>
      <c r="D32" s="49">
        <v>0.01</v>
      </c>
      <c r="E32" s="46">
        <f t="shared" si="0"/>
        <v>0</v>
      </c>
    </row>
    <row r="33" spans="1:5" ht="20.5" customHeight="1" x14ac:dyDescent="0.2">
      <c r="A33" s="24">
        <v>120</v>
      </c>
      <c r="B33" s="14" t="s">
        <v>5</v>
      </c>
      <c r="C33" s="43"/>
      <c r="D33" s="49">
        <v>0.01</v>
      </c>
      <c r="E33" s="46">
        <f t="shared" si="0"/>
        <v>0</v>
      </c>
    </row>
    <row r="34" spans="1:5" ht="20.5" customHeight="1" x14ac:dyDescent="0.2">
      <c r="A34" s="24">
        <v>150</v>
      </c>
      <c r="B34" s="14" t="s">
        <v>5</v>
      </c>
      <c r="C34" s="43"/>
      <c r="D34" s="49">
        <v>0.01</v>
      </c>
      <c r="E34" s="46">
        <f t="shared" si="0"/>
        <v>0</v>
      </c>
    </row>
    <row r="35" spans="1:5" ht="20.5" customHeight="1" x14ac:dyDescent="0.2">
      <c r="A35" s="24">
        <v>160</v>
      </c>
      <c r="B35" s="14" t="s">
        <v>5</v>
      </c>
      <c r="C35" s="43"/>
      <c r="D35" s="49">
        <v>0.01</v>
      </c>
      <c r="E35" s="46">
        <f t="shared" si="0"/>
        <v>0</v>
      </c>
    </row>
    <row r="36" spans="1:5" ht="20.5" customHeight="1" x14ac:dyDescent="0.2">
      <c r="A36" s="24">
        <v>180</v>
      </c>
      <c r="B36" s="14" t="s">
        <v>5</v>
      </c>
      <c r="C36" s="43" t="s">
        <v>160</v>
      </c>
      <c r="D36" s="49">
        <v>0.01</v>
      </c>
      <c r="E36" s="46">
        <f t="shared" si="0"/>
        <v>0.02</v>
      </c>
    </row>
    <row r="37" spans="1:5" ht="20.5" customHeight="1" x14ac:dyDescent="0.2">
      <c r="A37" s="24">
        <v>200</v>
      </c>
      <c r="B37" s="14" t="s">
        <v>5</v>
      </c>
      <c r="C37" s="43"/>
      <c r="D37" s="49">
        <v>0.01</v>
      </c>
      <c r="E37" s="46">
        <f t="shared" si="0"/>
        <v>0</v>
      </c>
    </row>
    <row r="38" spans="1:5" ht="20.5" customHeight="1" x14ac:dyDescent="0.2">
      <c r="A38" s="24">
        <v>220</v>
      </c>
      <c r="B38" s="14" t="s">
        <v>5</v>
      </c>
      <c r="C38" s="43"/>
      <c r="D38" s="49">
        <v>0.01</v>
      </c>
      <c r="E38" s="46">
        <f t="shared" si="0"/>
        <v>0</v>
      </c>
    </row>
    <row r="39" spans="1:5" ht="20.5" customHeight="1" x14ac:dyDescent="0.2">
      <c r="A39" s="24">
        <v>240</v>
      </c>
      <c r="B39" s="14" t="s">
        <v>5</v>
      </c>
      <c r="C39" s="43"/>
      <c r="D39" s="49">
        <v>0.01</v>
      </c>
      <c r="E39" s="46">
        <f t="shared" si="0"/>
        <v>0</v>
      </c>
    </row>
    <row r="40" spans="1:5" ht="20.5" customHeight="1" x14ac:dyDescent="0.2">
      <c r="A40" s="24">
        <v>270</v>
      </c>
      <c r="B40" s="14" t="s">
        <v>5</v>
      </c>
      <c r="C40" s="43"/>
      <c r="D40" s="49">
        <v>0.01</v>
      </c>
      <c r="E40" s="46">
        <f t="shared" si="0"/>
        <v>0</v>
      </c>
    </row>
    <row r="41" spans="1:5" ht="20.5" customHeight="1" x14ac:dyDescent="0.2">
      <c r="A41" s="24">
        <v>300</v>
      </c>
      <c r="B41" s="14" t="s">
        <v>5</v>
      </c>
      <c r="C41" s="43"/>
      <c r="D41" s="49">
        <v>0.01</v>
      </c>
      <c r="E41" s="46">
        <f t="shared" si="0"/>
        <v>0</v>
      </c>
    </row>
    <row r="42" spans="1:5" ht="20.5" customHeight="1" x14ac:dyDescent="0.2">
      <c r="A42" s="24">
        <v>330</v>
      </c>
      <c r="B42" s="14" t="s">
        <v>5</v>
      </c>
      <c r="C42" s="43"/>
      <c r="D42" s="49">
        <v>0.01</v>
      </c>
      <c r="E42" s="46">
        <f t="shared" si="0"/>
        <v>0</v>
      </c>
    </row>
    <row r="43" spans="1:5" ht="20.5" customHeight="1" x14ac:dyDescent="0.2">
      <c r="A43" s="24">
        <v>360</v>
      </c>
      <c r="B43" s="14" t="s">
        <v>5</v>
      </c>
      <c r="C43" s="43"/>
      <c r="D43" s="49">
        <v>0.01</v>
      </c>
      <c r="E43" s="46">
        <f t="shared" si="0"/>
        <v>0</v>
      </c>
    </row>
    <row r="44" spans="1:5" ht="20.5" customHeight="1" x14ac:dyDescent="0.2">
      <c r="A44" s="24">
        <v>390</v>
      </c>
      <c r="B44" s="14" t="s">
        <v>5</v>
      </c>
      <c r="C44" s="43"/>
      <c r="D44" s="49">
        <v>0.01</v>
      </c>
      <c r="E44" s="46">
        <f t="shared" si="0"/>
        <v>0</v>
      </c>
    </row>
    <row r="45" spans="1:5" ht="20.5" customHeight="1" x14ac:dyDescent="0.2">
      <c r="A45" s="24">
        <v>430</v>
      </c>
      <c r="B45" s="14" t="s">
        <v>5</v>
      </c>
      <c r="C45" s="43"/>
      <c r="D45" s="49">
        <v>0.01</v>
      </c>
      <c r="E45" s="46">
        <f t="shared" si="0"/>
        <v>0</v>
      </c>
    </row>
    <row r="46" spans="1:5" ht="20.5" customHeight="1" x14ac:dyDescent="0.2">
      <c r="A46" s="24">
        <v>470</v>
      </c>
      <c r="B46" s="14" t="s">
        <v>5</v>
      </c>
      <c r="C46" s="43"/>
      <c r="D46" s="49">
        <v>0.01</v>
      </c>
      <c r="E46" s="46">
        <f t="shared" si="0"/>
        <v>0</v>
      </c>
    </row>
    <row r="47" spans="1:5" ht="20.5" customHeight="1" x14ac:dyDescent="0.2">
      <c r="A47" s="24">
        <v>510</v>
      </c>
      <c r="B47" s="14" t="s">
        <v>5</v>
      </c>
      <c r="C47" s="43"/>
      <c r="D47" s="49">
        <v>0.01</v>
      </c>
      <c r="E47" s="46">
        <f t="shared" si="0"/>
        <v>0</v>
      </c>
    </row>
    <row r="48" spans="1:5" ht="20.5" customHeight="1" x14ac:dyDescent="0.2">
      <c r="A48" s="24">
        <v>560</v>
      </c>
      <c r="B48" s="14" t="s">
        <v>5</v>
      </c>
      <c r="C48" s="43"/>
      <c r="D48" s="49">
        <v>0.01</v>
      </c>
      <c r="E48" s="46">
        <f t="shared" si="0"/>
        <v>0</v>
      </c>
    </row>
    <row r="49" spans="1:5" ht="20.5" customHeight="1" x14ac:dyDescent="0.2">
      <c r="A49" s="24">
        <v>620</v>
      </c>
      <c r="B49" s="14" t="s">
        <v>5</v>
      </c>
      <c r="C49" s="43"/>
      <c r="D49" s="49">
        <v>0.01</v>
      </c>
      <c r="E49" s="46">
        <f t="shared" si="0"/>
        <v>0</v>
      </c>
    </row>
    <row r="50" spans="1:5" ht="20.5" customHeight="1" x14ac:dyDescent="0.2">
      <c r="A50" s="24">
        <v>680</v>
      </c>
      <c r="B50" s="14" t="s">
        <v>5</v>
      </c>
      <c r="C50" s="43"/>
      <c r="D50" s="49">
        <v>0.01</v>
      </c>
      <c r="E50" s="46">
        <f t="shared" si="0"/>
        <v>0</v>
      </c>
    </row>
    <row r="51" spans="1:5" ht="20.5" customHeight="1" x14ac:dyDescent="0.2">
      <c r="A51" s="24">
        <v>750</v>
      </c>
      <c r="B51" s="14" t="s">
        <v>5</v>
      </c>
      <c r="C51" s="43"/>
      <c r="D51" s="49">
        <v>0.01</v>
      </c>
      <c r="E51" s="46">
        <f t="shared" si="0"/>
        <v>0</v>
      </c>
    </row>
    <row r="52" spans="1:5" ht="20.5" customHeight="1" x14ac:dyDescent="0.2">
      <c r="A52" s="24">
        <v>820</v>
      </c>
      <c r="B52" s="14" t="s">
        <v>5</v>
      </c>
      <c r="C52" s="43"/>
      <c r="D52" s="49">
        <v>0.01</v>
      </c>
      <c r="E52" s="46">
        <f t="shared" si="0"/>
        <v>0</v>
      </c>
    </row>
    <row r="53" spans="1:5" ht="20.5" customHeight="1" x14ac:dyDescent="0.2">
      <c r="A53" s="24">
        <v>910</v>
      </c>
      <c r="B53" s="14" t="s">
        <v>5</v>
      </c>
      <c r="C53" s="43"/>
      <c r="D53" s="49">
        <v>0.01</v>
      </c>
      <c r="E53" s="46">
        <f t="shared" si="0"/>
        <v>0</v>
      </c>
    </row>
    <row r="54" spans="1:5" ht="20.5" customHeight="1" x14ac:dyDescent="0.2">
      <c r="A54" s="24" t="s">
        <v>73</v>
      </c>
      <c r="B54" s="14" t="s">
        <v>5</v>
      </c>
      <c r="C54" s="43" t="s">
        <v>160</v>
      </c>
      <c r="D54" s="49">
        <v>0.01</v>
      </c>
      <c r="E54" s="46">
        <f t="shared" si="0"/>
        <v>0.02</v>
      </c>
    </row>
    <row r="55" spans="1:5" ht="20.5" customHeight="1" x14ac:dyDescent="0.2">
      <c r="A55" s="24" t="s">
        <v>74</v>
      </c>
      <c r="B55" s="14" t="s">
        <v>5</v>
      </c>
      <c r="C55" s="43"/>
      <c r="D55" s="49">
        <v>0.01</v>
      </c>
      <c r="E55" s="46">
        <f t="shared" si="0"/>
        <v>0</v>
      </c>
    </row>
    <row r="56" spans="1:5" ht="20.5" customHeight="1" x14ac:dyDescent="0.2">
      <c r="A56" s="24" t="s">
        <v>75</v>
      </c>
      <c r="B56" s="14" t="s">
        <v>5</v>
      </c>
      <c r="C56" s="43" t="s">
        <v>159</v>
      </c>
      <c r="D56" s="49">
        <v>0.01</v>
      </c>
      <c r="E56" s="46">
        <f t="shared" si="0"/>
        <v>0.01</v>
      </c>
    </row>
    <row r="57" spans="1:5" ht="20.5" customHeight="1" x14ac:dyDescent="0.2">
      <c r="A57" s="24" t="s">
        <v>76</v>
      </c>
      <c r="B57" s="14" t="s">
        <v>5</v>
      </c>
      <c r="C57" s="43"/>
      <c r="D57" s="49">
        <v>0.01</v>
      </c>
      <c r="E57" s="46">
        <f t="shared" si="0"/>
        <v>0</v>
      </c>
    </row>
    <row r="58" spans="1:5" ht="20.5" customHeight="1" x14ac:dyDescent="0.2">
      <c r="A58" s="24" t="s">
        <v>77</v>
      </c>
      <c r="B58" s="14" t="s">
        <v>5</v>
      </c>
      <c r="C58" s="43"/>
      <c r="D58" s="49">
        <v>0.01</v>
      </c>
      <c r="E58" s="46">
        <f t="shared" si="0"/>
        <v>0</v>
      </c>
    </row>
    <row r="59" spans="1:5" ht="20.5" customHeight="1" x14ac:dyDescent="0.2">
      <c r="A59" s="24" t="s">
        <v>78</v>
      </c>
      <c r="B59" s="14" t="s">
        <v>5</v>
      </c>
      <c r="C59" s="43"/>
      <c r="D59" s="49">
        <v>0.01</v>
      </c>
      <c r="E59" s="46">
        <f t="shared" si="0"/>
        <v>0</v>
      </c>
    </row>
    <row r="60" spans="1:5" ht="20.5" customHeight="1" x14ac:dyDescent="0.2">
      <c r="A60" s="24" t="s">
        <v>79</v>
      </c>
      <c r="B60" s="14" t="s">
        <v>5</v>
      </c>
      <c r="C60" s="43"/>
      <c r="D60" s="49">
        <v>0.01</v>
      </c>
      <c r="E60" s="46">
        <f t="shared" si="0"/>
        <v>0</v>
      </c>
    </row>
    <row r="61" spans="1:5" ht="20.5" customHeight="1" x14ac:dyDescent="0.2">
      <c r="A61" s="24" t="s">
        <v>80</v>
      </c>
      <c r="B61" s="14" t="s">
        <v>5</v>
      </c>
      <c r="C61" s="43"/>
      <c r="D61" s="49">
        <v>0.01</v>
      </c>
      <c r="E61" s="46">
        <f t="shared" si="0"/>
        <v>0</v>
      </c>
    </row>
    <row r="62" spans="1:5" ht="20.5" customHeight="1" x14ac:dyDescent="0.2">
      <c r="A62" s="24" t="s">
        <v>81</v>
      </c>
      <c r="B62" s="14" t="s">
        <v>5</v>
      </c>
      <c r="C62" s="43"/>
      <c r="D62" s="49">
        <v>0.01</v>
      </c>
      <c r="E62" s="46">
        <f t="shared" si="0"/>
        <v>0</v>
      </c>
    </row>
    <row r="63" spans="1:5" ht="20.5" customHeight="1" x14ac:dyDescent="0.2">
      <c r="A63" s="24" t="s">
        <v>82</v>
      </c>
      <c r="B63" s="14" t="s">
        <v>5</v>
      </c>
      <c r="C63" s="43" t="s">
        <v>159</v>
      </c>
      <c r="D63" s="49">
        <v>0.01</v>
      </c>
      <c r="E63" s="46">
        <f t="shared" si="0"/>
        <v>0.01</v>
      </c>
    </row>
    <row r="64" spans="1:5" ht="20.5" customHeight="1" x14ac:dyDescent="0.2">
      <c r="A64" s="24" t="s">
        <v>83</v>
      </c>
      <c r="B64" s="14" t="s">
        <v>5</v>
      </c>
      <c r="C64" s="43"/>
      <c r="D64" s="49">
        <v>0.01</v>
      </c>
      <c r="E64" s="46">
        <f t="shared" si="0"/>
        <v>0</v>
      </c>
    </row>
    <row r="65" spans="1:5" ht="20.5" customHeight="1" x14ac:dyDescent="0.2">
      <c r="A65" s="24" t="s">
        <v>84</v>
      </c>
      <c r="B65" s="14" t="s">
        <v>5</v>
      </c>
      <c r="C65" s="43"/>
      <c r="D65" s="49">
        <v>0.01</v>
      </c>
      <c r="E65" s="46">
        <f t="shared" si="0"/>
        <v>0</v>
      </c>
    </row>
    <row r="66" spans="1:5" ht="20.5" customHeight="1" x14ac:dyDescent="0.2">
      <c r="A66" s="24" t="s">
        <v>85</v>
      </c>
      <c r="B66" s="14" t="s">
        <v>5</v>
      </c>
      <c r="C66" s="43"/>
      <c r="D66" s="49">
        <v>0.01</v>
      </c>
      <c r="E66" s="46">
        <f t="shared" si="0"/>
        <v>0</v>
      </c>
    </row>
    <row r="67" spans="1:5" ht="20.5" customHeight="1" x14ac:dyDescent="0.2">
      <c r="A67" s="24" t="s">
        <v>86</v>
      </c>
      <c r="B67" s="14" t="s">
        <v>5</v>
      </c>
      <c r="C67" s="43"/>
      <c r="D67" s="49">
        <v>0.01</v>
      </c>
      <c r="E67" s="46">
        <f t="shared" si="0"/>
        <v>0</v>
      </c>
    </row>
    <row r="68" spans="1:5" ht="20.5" customHeight="1" x14ac:dyDescent="0.2">
      <c r="A68" s="24" t="s">
        <v>87</v>
      </c>
      <c r="B68" s="14" t="s">
        <v>5</v>
      </c>
      <c r="C68" s="43"/>
      <c r="D68" s="49">
        <v>0.01</v>
      </c>
      <c r="E68" s="46">
        <f t="shared" si="0"/>
        <v>0</v>
      </c>
    </row>
    <row r="69" spans="1:5" ht="20.5" customHeight="1" x14ac:dyDescent="0.2">
      <c r="A69" s="24" t="s">
        <v>88</v>
      </c>
      <c r="B69" s="14" t="s">
        <v>5</v>
      </c>
      <c r="C69" s="43"/>
      <c r="D69" s="49">
        <v>0.01</v>
      </c>
      <c r="E69" s="46">
        <f t="shared" si="0"/>
        <v>0</v>
      </c>
    </row>
    <row r="70" spans="1:5" ht="20.5" customHeight="1" x14ac:dyDescent="0.2">
      <c r="A70" s="24" t="s">
        <v>89</v>
      </c>
      <c r="B70" s="14" t="s">
        <v>5</v>
      </c>
      <c r="C70" s="43"/>
      <c r="D70" s="49">
        <v>0.01</v>
      </c>
      <c r="E70" s="46">
        <f t="shared" ref="E70:E123" si="1">C70*D70</f>
        <v>0</v>
      </c>
    </row>
    <row r="71" spans="1:5" ht="20.5" customHeight="1" x14ac:dyDescent="0.2">
      <c r="A71" s="24" t="s">
        <v>90</v>
      </c>
      <c r="B71" s="14" t="s">
        <v>5</v>
      </c>
      <c r="C71" s="43"/>
      <c r="D71" s="49">
        <v>0.01</v>
      </c>
      <c r="E71" s="46">
        <f t="shared" si="1"/>
        <v>0</v>
      </c>
    </row>
    <row r="72" spans="1:5" ht="20.5" customHeight="1" x14ac:dyDescent="0.2">
      <c r="A72" s="24" t="s">
        <v>91</v>
      </c>
      <c r="B72" s="14" t="s">
        <v>5</v>
      </c>
      <c r="C72" s="43"/>
      <c r="D72" s="49">
        <v>0.01</v>
      </c>
      <c r="E72" s="46">
        <f t="shared" si="1"/>
        <v>0</v>
      </c>
    </row>
    <row r="73" spans="1:5" ht="20.5" customHeight="1" x14ac:dyDescent="0.2">
      <c r="A73" s="24" t="s">
        <v>92</v>
      </c>
      <c r="B73" s="14" t="s">
        <v>5</v>
      </c>
      <c r="C73" s="43"/>
      <c r="D73" s="49">
        <v>0.01</v>
      </c>
      <c r="E73" s="46">
        <f t="shared" si="1"/>
        <v>0</v>
      </c>
    </row>
    <row r="74" spans="1:5" ht="20.5" customHeight="1" x14ac:dyDescent="0.2">
      <c r="A74" s="24" t="s">
        <v>93</v>
      </c>
      <c r="B74" s="14" t="s">
        <v>5</v>
      </c>
      <c r="C74" s="43"/>
      <c r="D74" s="49">
        <v>0.01</v>
      </c>
      <c r="E74" s="46">
        <f t="shared" si="1"/>
        <v>0</v>
      </c>
    </row>
    <row r="75" spans="1:5" ht="20.5" customHeight="1" x14ac:dyDescent="0.2">
      <c r="A75" s="24" t="s">
        <v>94</v>
      </c>
      <c r="B75" s="14" t="s">
        <v>5</v>
      </c>
      <c r="C75" s="43" t="s">
        <v>159</v>
      </c>
      <c r="D75" s="49">
        <v>0.01</v>
      </c>
      <c r="E75" s="46">
        <f t="shared" si="1"/>
        <v>0.01</v>
      </c>
    </row>
    <row r="76" spans="1:5" ht="20.5" customHeight="1" x14ac:dyDescent="0.2">
      <c r="A76" s="24" t="s">
        <v>95</v>
      </c>
      <c r="B76" s="14" t="s">
        <v>5</v>
      </c>
      <c r="C76" s="43"/>
      <c r="D76" s="49">
        <v>0.01</v>
      </c>
      <c r="E76" s="46">
        <f t="shared" si="1"/>
        <v>0</v>
      </c>
    </row>
    <row r="77" spans="1:5" ht="20.5" customHeight="1" x14ac:dyDescent="0.2">
      <c r="A77" s="24" t="s">
        <v>96</v>
      </c>
      <c r="B77" s="14" t="s">
        <v>5</v>
      </c>
      <c r="C77" s="43"/>
      <c r="D77" s="49">
        <v>0.01</v>
      </c>
      <c r="E77" s="46">
        <f t="shared" si="1"/>
        <v>0</v>
      </c>
    </row>
    <row r="78" spans="1:5" ht="20.5" customHeight="1" x14ac:dyDescent="0.2">
      <c r="A78" s="24" t="s">
        <v>97</v>
      </c>
      <c r="B78" s="14" t="s">
        <v>5</v>
      </c>
      <c r="C78" s="43"/>
      <c r="D78" s="49">
        <v>0.01</v>
      </c>
      <c r="E78" s="46">
        <f t="shared" si="1"/>
        <v>0</v>
      </c>
    </row>
    <row r="79" spans="1:5" ht="20.5" customHeight="1" x14ac:dyDescent="0.2">
      <c r="A79" s="24" t="s">
        <v>98</v>
      </c>
      <c r="B79" s="14" t="s">
        <v>5</v>
      </c>
      <c r="C79" s="43" t="s">
        <v>159</v>
      </c>
      <c r="D79" s="49">
        <v>0.01</v>
      </c>
      <c r="E79" s="46">
        <f t="shared" si="1"/>
        <v>0.01</v>
      </c>
    </row>
    <row r="80" spans="1:5" ht="20.5" customHeight="1" x14ac:dyDescent="0.2">
      <c r="A80" s="24" t="s">
        <v>99</v>
      </c>
      <c r="B80" s="14" t="s">
        <v>5</v>
      </c>
      <c r="C80" s="43"/>
      <c r="D80" s="49">
        <v>0.01</v>
      </c>
      <c r="E80" s="46">
        <f t="shared" si="1"/>
        <v>0</v>
      </c>
    </row>
    <row r="81" spans="1:5" ht="20.5" customHeight="1" x14ac:dyDescent="0.2">
      <c r="A81" s="24" t="s">
        <v>100</v>
      </c>
      <c r="B81" s="14" t="s">
        <v>5</v>
      </c>
      <c r="C81" s="43"/>
      <c r="D81" s="49">
        <v>0.01</v>
      </c>
      <c r="E81" s="46">
        <f t="shared" si="1"/>
        <v>0</v>
      </c>
    </row>
    <row r="82" spans="1:5" ht="20.5" customHeight="1" x14ac:dyDescent="0.2">
      <c r="A82" s="24" t="s">
        <v>101</v>
      </c>
      <c r="B82" s="14" t="s">
        <v>5</v>
      </c>
      <c r="C82" s="43"/>
      <c r="D82" s="49">
        <v>0.01</v>
      </c>
      <c r="E82" s="46">
        <f t="shared" si="1"/>
        <v>0</v>
      </c>
    </row>
    <row r="83" spans="1:5" ht="20.5" customHeight="1" x14ac:dyDescent="0.2">
      <c r="A83" s="24" t="s">
        <v>102</v>
      </c>
      <c r="B83" s="14" t="s">
        <v>5</v>
      </c>
      <c r="C83" s="43"/>
      <c r="D83" s="49">
        <v>0.01</v>
      </c>
      <c r="E83" s="46">
        <f t="shared" si="1"/>
        <v>0</v>
      </c>
    </row>
    <row r="84" spans="1:5" ht="20.5" customHeight="1" x14ac:dyDescent="0.2">
      <c r="A84" s="24" t="s">
        <v>103</v>
      </c>
      <c r="B84" s="14" t="s">
        <v>5</v>
      </c>
      <c r="C84" s="43"/>
      <c r="D84" s="49">
        <v>0.01</v>
      </c>
      <c r="E84" s="46">
        <f t="shared" si="1"/>
        <v>0</v>
      </c>
    </row>
    <row r="85" spans="1:5" ht="20.5" customHeight="1" x14ac:dyDescent="0.2">
      <c r="A85" s="24" t="s">
        <v>104</v>
      </c>
      <c r="B85" s="14" t="s">
        <v>5</v>
      </c>
      <c r="C85" s="43"/>
      <c r="D85" s="49">
        <v>0.01</v>
      </c>
      <c r="E85" s="46">
        <f t="shared" si="1"/>
        <v>0</v>
      </c>
    </row>
    <row r="86" spans="1:5" ht="20.5" customHeight="1" x14ac:dyDescent="0.2">
      <c r="A86" s="24" t="s">
        <v>105</v>
      </c>
      <c r="B86" s="14" t="s">
        <v>5</v>
      </c>
      <c r="C86" s="43"/>
      <c r="D86" s="49">
        <v>0.01</v>
      </c>
      <c r="E86" s="46">
        <f t="shared" si="1"/>
        <v>0</v>
      </c>
    </row>
    <row r="87" spans="1:5" ht="20.5" customHeight="1" x14ac:dyDescent="0.2">
      <c r="A87" s="24" t="s">
        <v>106</v>
      </c>
      <c r="B87" s="14" t="s">
        <v>5</v>
      </c>
      <c r="C87" s="43"/>
      <c r="D87" s="49">
        <v>0.01</v>
      </c>
      <c r="E87" s="46">
        <f t="shared" si="1"/>
        <v>0</v>
      </c>
    </row>
    <row r="88" spans="1:5" ht="20.5" customHeight="1" x14ac:dyDescent="0.2">
      <c r="A88" s="24" t="s">
        <v>107</v>
      </c>
      <c r="B88" s="14" t="s">
        <v>5</v>
      </c>
      <c r="C88" s="43"/>
      <c r="D88" s="49">
        <v>0.01</v>
      </c>
      <c r="E88" s="46">
        <f t="shared" si="1"/>
        <v>0</v>
      </c>
    </row>
    <row r="89" spans="1:5" ht="20.5" customHeight="1" x14ac:dyDescent="0.2">
      <c r="A89" s="24" t="s">
        <v>108</v>
      </c>
      <c r="B89" s="14" t="s">
        <v>5</v>
      </c>
      <c r="C89" s="43"/>
      <c r="D89" s="49">
        <v>0.01</v>
      </c>
      <c r="E89" s="46">
        <f t="shared" si="1"/>
        <v>0</v>
      </c>
    </row>
    <row r="90" spans="1:5" ht="20.5" customHeight="1" x14ac:dyDescent="0.2">
      <c r="A90" s="24" t="s">
        <v>109</v>
      </c>
      <c r="B90" s="14" t="s">
        <v>5</v>
      </c>
      <c r="C90" s="43"/>
      <c r="D90" s="49">
        <v>0.01</v>
      </c>
      <c r="E90" s="46">
        <f t="shared" si="1"/>
        <v>0</v>
      </c>
    </row>
    <row r="91" spans="1:5" ht="20.5" customHeight="1" x14ac:dyDescent="0.2">
      <c r="A91" s="24" t="s">
        <v>110</v>
      </c>
      <c r="B91" s="14" t="s">
        <v>5</v>
      </c>
      <c r="C91" s="43"/>
      <c r="D91" s="49">
        <v>0.01</v>
      </c>
      <c r="E91" s="46">
        <f t="shared" si="1"/>
        <v>0</v>
      </c>
    </row>
    <row r="92" spans="1:5" ht="20.5" customHeight="1" x14ac:dyDescent="0.2">
      <c r="A92" s="24" t="s">
        <v>111</v>
      </c>
      <c r="B92" s="14" t="s">
        <v>5</v>
      </c>
      <c r="C92" s="43"/>
      <c r="D92" s="49">
        <v>0.01</v>
      </c>
      <c r="E92" s="46">
        <f t="shared" si="1"/>
        <v>0</v>
      </c>
    </row>
    <row r="93" spans="1:5" ht="20.5" customHeight="1" x14ac:dyDescent="0.2">
      <c r="A93" s="24" t="s">
        <v>112</v>
      </c>
      <c r="B93" s="14" t="s">
        <v>5</v>
      </c>
      <c r="C93" s="43"/>
      <c r="D93" s="49">
        <v>0.01</v>
      </c>
      <c r="E93" s="46">
        <f t="shared" si="1"/>
        <v>0</v>
      </c>
    </row>
    <row r="94" spans="1:5" ht="20.5" customHeight="1" x14ac:dyDescent="0.2">
      <c r="A94" s="24" t="s">
        <v>113</v>
      </c>
      <c r="B94" s="14" t="s">
        <v>5</v>
      </c>
      <c r="C94" s="43"/>
      <c r="D94" s="49">
        <v>0.01</v>
      </c>
      <c r="E94" s="46">
        <f t="shared" si="1"/>
        <v>0</v>
      </c>
    </row>
    <row r="95" spans="1:5" ht="20.5" customHeight="1" x14ac:dyDescent="0.2">
      <c r="A95" s="24" t="s">
        <v>114</v>
      </c>
      <c r="B95" s="14" t="s">
        <v>5</v>
      </c>
      <c r="C95" s="43"/>
      <c r="D95" s="49">
        <v>0.01</v>
      </c>
      <c r="E95" s="46">
        <f t="shared" si="1"/>
        <v>0</v>
      </c>
    </row>
    <row r="96" spans="1:5" ht="20.5" customHeight="1" x14ac:dyDescent="0.2">
      <c r="A96" s="24" t="s">
        <v>115</v>
      </c>
      <c r="B96" s="14" t="s">
        <v>5</v>
      </c>
      <c r="C96" s="43"/>
      <c r="D96" s="49">
        <v>0.01</v>
      </c>
      <c r="E96" s="46">
        <f t="shared" si="1"/>
        <v>0</v>
      </c>
    </row>
    <row r="97" spans="1:5" ht="20.5" customHeight="1" x14ac:dyDescent="0.2">
      <c r="A97" s="24" t="s">
        <v>116</v>
      </c>
      <c r="B97" s="14" t="s">
        <v>5</v>
      </c>
      <c r="C97" s="43"/>
      <c r="D97" s="49">
        <v>0.01</v>
      </c>
      <c r="E97" s="46">
        <f t="shared" si="1"/>
        <v>0</v>
      </c>
    </row>
    <row r="98" spans="1:5" ht="20.5" customHeight="1" x14ac:dyDescent="0.2">
      <c r="A98" s="24" t="s">
        <v>117</v>
      </c>
      <c r="B98" s="14" t="s">
        <v>5</v>
      </c>
      <c r="C98" s="43"/>
      <c r="D98" s="49">
        <v>0.01</v>
      </c>
      <c r="E98" s="46">
        <f t="shared" si="1"/>
        <v>0</v>
      </c>
    </row>
    <row r="99" spans="1:5" ht="20.5" customHeight="1" x14ac:dyDescent="0.2">
      <c r="A99" s="24" t="s">
        <v>118</v>
      </c>
      <c r="B99" s="14" t="s">
        <v>5</v>
      </c>
      <c r="C99" s="43"/>
      <c r="D99" s="49">
        <v>0.01</v>
      </c>
      <c r="E99" s="46">
        <f t="shared" si="1"/>
        <v>0</v>
      </c>
    </row>
    <row r="100" spans="1:5" ht="20.5" customHeight="1" x14ac:dyDescent="0.2">
      <c r="A100" s="24" t="s">
        <v>119</v>
      </c>
      <c r="B100" s="14" t="s">
        <v>5</v>
      </c>
      <c r="C100" s="43"/>
      <c r="D100" s="49">
        <v>0.01</v>
      </c>
      <c r="E100" s="46">
        <f t="shared" si="1"/>
        <v>0</v>
      </c>
    </row>
    <row r="101" spans="1:5" ht="20.5" customHeight="1" x14ac:dyDescent="0.2">
      <c r="A101" s="24" t="s">
        <v>120</v>
      </c>
      <c r="B101" s="14" t="s">
        <v>5</v>
      </c>
      <c r="C101" s="43"/>
      <c r="D101" s="49">
        <v>0.01</v>
      </c>
      <c r="E101" s="46">
        <f t="shared" si="1"/>
        <v>0</v>
      </c>
    </row>
    <row r="102" spans="1:5" ht="20.5" customHeight="1" x14ac:dyDescent="0.2">
      <c r="A102" s="24" t="s">
        <v>121</v>
      </c>
      <c r="B102" s="14" t="s">
        <v>5</v>
      </c>
      <c r="C102" s="43"/>
      <c r="D102" s="49">
        <v>0.01</v>
      </c>
      <c r="E102" s="46">
        <f t="shared" si="1"/>
        <v>0</v>
      </c>
    </row>
    <row r="103" spans="1:5" ht="20.5" customHeight="1" x14ac:dyDescent="0.2">
      <c r="A103" s="24" t="s">
        <v>122</v>
      </c>
      <c r="B103" s="14" t="s">
        <v>5</v>
      </c>
      <c r="C103" s="43"/>
      <c r="D103" s="49">
        <v>0.01</v>
      </c>
      <c r="E103" s="46">
        <f t="shared" si="1"/>
        <v>0</v>
      </c>
    </row>
    <row r="104" spans="1:5" ht="20.5" customHeight="1" x14ac:dyDescent="0.2">
      <c r="A104" s="24" t="s">
        <v>123</v>
      </c>
      <c r="B104" s="14" t="s">
        <v>5</v>
      </c>
      <c r="C104" s="43"/>
      <c r="D104" s="49">
        <v>0.01</v>
      </c>
      <c r="E104" s="46">
        <f t="shared" si="1"/>
        <v>0</v>
      </c>
    </row>
    <row r="105" spans="1:5" ht="20.5" customHeight="1" x14ac:dyDescent="0.2">
      <c r="A105" s="24" t="s">
        <v>124</v>
      </c>
      <c r="B105" s="14" t="s">
        <v>5</v>
      </c>
      <c r="C105" s="43"/>
      <c r="D105" s="49">
        <v>0.01</v>
      </c>
      <c r="E105" s="46">
        <f t="shared" si="1"/>
        <v>0</v>
      </c>
    </row>
    <row r="106" spans="1:5" ht="20.5" customHeight="1" x14ac:dyDescent="0.2">
      <c r="A106" s="24" t="s">
        <v>125</v>
      </c>
      <c r="B106" s="14" t="s">
        <v>5</v>
      </c>
      <c r="C106" s="43"/>
      <c r="D106" s="49">
        <v>0.01</v>
      </c>
      <c r="E106" s="46">
        <f t="shared" si="1"/>
        <v>0</v>
      </c>
    </row>
    <row r="107" spans="1:5" ht="20.5" customHeight="1" x14ac:dyDescent="0.2">
      <c r="A107" s="24" t="s">
        <v>126</v>
      </c>
      <c r="B107" s="14" t="s">
        <v>5</v>
      </c>
      <c r="C107" s="43"/>
      <c r="D107" s="49">
        <v>0.01</v>
      </c>
      <c r="E107" s="46">
        <f t="shared" si="1"/>
        <v>0</v>
      </c>
    </row>
    <row r="108" spans="1:5" ht="20.5" customHeight="1" x14ac:dyDescent="0.2">
      <c r="A108" s="24" t="s">
        <v>127</v>
      </c>
      <c r="B108" s="14" t="s">
        <v>5</v>
      </c>
      <c r="C108" s="43"/>
      <c r="D108" s="49">
        <v>0.01</v>
      </c>
      <c r="E108" s="46">
        <f t="shared" si="1"/>
        <v>0</v>
      </c>
    </row>
    <row r="109" spans="1:5" ht="20.5" customHeight="1" x14ac:dyDescent="0.2">
      <c r="A109" s="24" t="s">
        <v>128</v>
      </c>
      <c r="B109" s="14" t="s">
        <v>5</v>
      </c>
      <c r="C109" s="43"/>
      <c r="D109" s="49">
        <v>0.01</v>
      </c>
      <c r="E109" s="46">
        <f t="shared" si="1"/>
        <v>0</v>
      </c>
    </row>
    <row r="110" spans="1:5" ht="20.5" customHeight="1" x14ac:dyDescent="0.2">
      <c r="A110" s="24" t="s">
        <v>129</v>
      </c>
      <c r="B110" s="14" t="s">
        <v>5</v>
      </c>
      <c r="C110" s="43"/>
      <c r="D110" s="49">
        <v>0.01</v>
      </c>
      <c r="E110" s="46">
        <f t="shared" si="1"/>
        <v>0</v>
      </c>
    </row>
    <row r="111" spans="1:5" ht="20.5" customHeight="1" x14ac:dyDescent="0.2">
      <c r="A111" s="24" t="s">
        <v>130</v>
      </c>
      <c r="B111" s="14" t="s">
        <v>5</v>
      </c>
      <c r="C111" s="43"/>
      <c r="D111" s="49">
        <v>0.01</v>
      </c>
      <c r="E111" s="46">
        <f t="shared" si="1"/>
        <v>0</v>
      </c>
    </row>
    <row r="112" spans="1:5" ht="20.5" customHeight="1" x14ac:dyDescent="0.2">
      <c r="A112" s="24" t="s">
        <v>131</v>
      </c>
      <c r="B112" s="14" t="s">
        <v>5</v>
      </c>
      <c r="C112" s="43"/>
      <c r="D112" s="49">
        <v>0.01</v>
      </c>
      <c r="E112" s="46">
        <f t="shared" si="1"/>
        <v>0</v>
      </c>
    </row>
    <row r="113" spans="1:5" ht="20.5" customHeight="1" x14ac:dyDescent="0.2">
      <c r="A113" s="24" t="s">
        <v>132</v>
      </c>
      <c r="B113" s="14" t="s">
        <v>5</v>
      </c>
      <c r="C113" s="43"/>
      <c r="D113" s="49">
        <v>0.01</v>
      </c>
      <c r="E113" s="46">
        <f t="shared" si="1"/>
        <v>0</v>
      </c>
    </row>
    <row r="114" spans="1:5" ht="20.5" customHeight="1" x14ac:dyDescent="0.2">
      <c r="A114" s="24" t="s">
        <v>133</v>
      </c>
      <c r="B114" s="14" t="s">
        <v>5</v>
      </c>
      <c r="C114" s="43"/>
      <c r="D114" s="49">
        <v>0.01</v>
      </c>
      <c r="E114" s="46">
        <f t="shared" si="1"/>
        <v>0</v>
      </c>
    </row>
    <row r="115" spans="1:5" ht="20.5" customHeight="1" x14ac:dyDescent="0.2">
      <c r="A115" s="24" t="s">
        <v>134</v>
      </c>
      <c r="B115" s="14" t="s">
        <v>5</v>
      </c>
      <c r="C115" s="43"/>
      <c r="D115" s="49">
        <v>0.01</v>
      </c>
      <c r="E115" s="46">
        <f t="shared" si="1"/>
        <v>0</v>
      </c>
    </row>
    <row r="116" spans="1:5" ht="20.5" customHeight="1" x14ac:dyDescent="0.2">
      <c r="A116" s="24" t="s">
        <v>135</v>
      </c>
      <c r="B116" s="14" t="s">
        <v>5</v>
      </c>
      <c r="C116" s="43"/>
      <c r="D116" s="49">
        <v>0.01</v>
      </c>
      <c r="E116" s="46">
        <f t="shared" si="1"/>
        <v>0</v>
      </c>
    </row>
    <row r="117" spans="1:5" ht="20.5" customHeight="1" x14ac:dyDescent="0.2">
      <c r="A117" s="24" t="s">
        <v>136</v>
      </c>
      <c r="B117" s="14" t="s">
        <v>5</v>
      </c>
      <c r="C117" s="43"/>
      <c r="D117" s="49">
        <v>0.01</v>
      </c>
      <c r="E117" s="46">
        <f t="shared" si="1"/>
        <v>0</v>
      </c>
    </row>
    <row r="118" spans="1:5" ht="20.5" customHeight="1" x14ac:dyDescent="0.2">
      <c r="A118" s="24" t="s">
        <v>137</v>
      </c>
      <c r="B118" s="14" t="s">
        <v>5</v>
      </c>
      <c r="C118" s="43"/>
      <c r="D118" s="49">
        <v>0.01</v>
      </c>
      <c r="E118" s="46">
        <f t="shared" si="1"/>
        <v>0</v>
      </c>
    </row>
    <row r="119" spans="1:5" ht="20.5" customHeight="1" x14ac:dyDescent="0.2">
      <c r="A119" s="24" t="s">
        <v>138</v>
      </c>
      <c r="B119" s="14" t="s">
        <v>5</v>
      </c>
      <c r="C119" s="43"/>
      <c r="D119" s="49">
        <v>0.01</v>
      </c>
      <c r="E119" s="46">
        <f t="shared" si="1"/>
        <v>0</v>
      </c>
    </row>
    <row r="120" spans="1:5" ht="20.5" customHeight="1" x14ac:dyDescent="0.2">
      <c r="A120" s="24" t="s">
        <v>139</v>
      </c>
      <c r="B120" s="14" t="s">
        <v>5</v>
      </c>
      <c r="C120" s="43"/>
      <c r="D120" s="49">
        <v>0.01</v>
      </c>
      <c r="E120" s="46">
        <f t="shared" si="1"/>
        <v>0</v>
      </c>
    </row>
    <row r="121" spans="1:5" ht="20.5" customHeight="1" x14ac:dyDescent="0.2">
      <c r="A121" s="24" t="s">
        <v>140</v>
      </c>
      <c r="B121" s="14" t="s">
        <v>5</v>
      </c>
      <c r="C121" s="43"/>
      <c r="D121" s="49">
        <v>0.01</v>
      </c>
      <c r="E121" s="46">
        <f t="shared" si="1"/>
        <v>0</v>
      </c>
    </row>
    <row r="122" spans="1:5" ht="20.5" customHeight="1" x14ac:dyDescent="0.2">
      <c r="A122" s="24" t="s">
        <v>141</v>
      </c>
      <c r="B122" s="14" t="s">
        <v>5</v>
      </c>
      <c r="C122" s="43"/>
      <c r="D122" s="49">
        <v>0.01</v>
      </c>
      <c r="E122" s="46">
        <f t="shared" si="1"/>
        <v>0</v>
      </c>
    </row>
    <row r="123" spans="1:5" ht="20.5" customHeight="1" x14ac:dyDescent="0.2">
      <c r="A123" s="24" t="s">
        <v>142</v>
      </c>
      <c r="B123" s="14" t="s">
        <v>5</v>
      </c>
      <c r="C123" s="43"/>
      <c r="D123" s="49">
        <v>0.01</v>
      </c>
      <c r="E123" s="46">
        <f t="shared" si="1"/>
        <v>0</v>
      </c>
    </row>
    <row r="124" spans="1:5" ht="20.5" customHeight="1" x14ac:dyDescent="0.2">
      <c r="A124"/>
      <c r="B124"/>
      <c r="C124" s="37"/>
      <c r="D124" s="50"/>
      <c r="E124" s="54">
        <f>SUM(E5:E123)</f>
        <v>9.9999999999999978E-2</v>
      </c>
    </row>
    <row r="125" spans="1:5" ht="20.5" customHeight="1" x14ac:dyDescent="0.2">
      <c r="A125"/>
      <c r="B125"/>
      <c r="C125" s="38"/>
      <c r="D125" s="51"/>
    </row>
    <row r="126" spans="1:5" ht="20.5" customHeight="1" x14ac:dyDescent="0.25">
      <c r="A126" s="6" t="s">
        <v>6</v>
      </c>
      <c r="B126" s="12" t="s">
        <v>7</v>
      </c>
      <c r="C126" s="41" t="s">
        <v>2</v>
      </c>
      <c r="D126" s="47" t="s">
        <v>3</v>
      </c>
      <c r="E126" s="47" t="s">
        <v>163</v>
      </c>
    </row>
    <row r="127" spans="1:5" ht="20.5" customHeight="1" x14ac:dyDescent="0.25">
      <c r="A127" s="10"/>
      <c r="B127" s="13"/>
      <c r="C127" s="42"/>
      <c r="D127" s="48"/>
    </row>
    <row r="128" spans="1:5" ht="20.5" customHeight="1" x14ac:dyDescent="0.2">
      <c r="A128" s="2" t="s">
        <v>8</v>
      </c>
      <c r="B128" s="15" t="s">
        <v>5</v>
      </c>
      <c r="C128" s="43"/>
      <c r="D128" s="49">
        <v>0.03</v>
      </c>
      <c r="E128" s="46">
        <f>C128*D128</f>
        <v>0</v>
      </c>
    </row>
    <row r="129" spans="1:5" ht="20.5" customHeight="1" x14ac:dyDescent="0.2">
      <c r="A129" s="2" t="s">
        <v>9</v>
      </c>
      <c r="B129" s="15" t="s">
        <v>5</v>
      </c>
      <c r="C129" s="43"/>
      <c r="D129" s="49">
        <v>0.03</v>
      </c>
      <c r="E129" s="46">
        <f t="shared" ref="E129:E152" si="2">C129*D129</f>
        <v>0</v>
      </c>
    </row>
    <row r="130" spans="1:5" ht="20.5" customHeight="1" x14ac:dyDescent="0.2">
      <c r="A130" s="2" t="s">
        <v>10</v>
      </c>
      <c r="B130" s="15" t="s">
        <v>5</v>
      </c>
      <c r="C130" s="43"/>
      <c r="D130" s="49">
        <v>0.03</v>
      </c>
      <c r="E130" s="46">
        <f t="shared" si="2"/>
        <v>0</v>
      </c>
    </row>
    <row r="131" spans="1:5" ht="20.5" customHeight="1" x14ac:dyDescent="0.2">
      <c r="A131" s="2" t="s">
        <v>11</v>
      </c>
      <c r="B131" s="15" t="s">
        <v>5</v>
      </c>
      <c r="C131" s="43"/>
      <c r="D131" s="49">
        <v>0.03</v>
      </c>
      <c r="E131" s="46">
        <f t="shared" si="2"/>
        <v>0</v>
      </c>
    </row>
    <row r="132" spans="1:5" ht="20.5" customHeight="1" x14ac:dyDescent="0.2">
      <c r="A132" s="2" t="s">
        <v>12</v>
      </c>
      <c r="B132" s="15" t="s">
        <v>5</v>
      </c>
      <c r="C132" s="43"/>
      <c r="D132" s="49">
        <v>0.03</v>
      </c>
      <c r="E132" s="46">
        <f t="shared" si="2"/>
        <v>0</v>
      </c>
    </row>
    <row r="133" spans="1:5" ht="20.5" customHeight="1" x14ac:dyDescent="0.2">
      <c r="A133" s="2" t="s">
        <v>13</v>
      </c>
      <c r="B133" s="15" t="s">
        <v>5</v>
      </c>
      <c r="C133" s="43"/>
      <c r="D133" s="49">
        <v>0.03</v>
      </c>
      <c r="E133" s="46">
        <f t="shared" si="2"/>
        <v>0</v>
      </c>
    </row>
    <row r="134" spans="1:5" ht="20.5" customHeight="1" x14ac:dyDescent="0.2">
      <c r="A134" s="2" t="s">
        <v>14</v>
      </c>
      <c r="B134" s="15" t="s">
        <v>5</v>
      </c>
      <c r="C134" s="43" t="s">
        <v>160</v>
      </c>
      <c r="D134" s="49">
        <v>0.05</v>
      </c>
      <c r="E134" s="46">
        <f t="shared" si="2"/>
        <v>0.1</v>
      </c>
    </row>
    <row r="135" spans="1:5" ht="20.5" customHeight="1" x14ac:dyDescent="0.2">
      <c r="A135" s="2" t="s">
        <v>15</v>
      </c>
      <c r="B135" s="15" t="s">
        <v>5</v>
      </c>
      <c r="C135" s="43"/>
      <c r="D135" s="49">
        <v>0.05</v>
      </c>
      <c r="E135" s="46">
        <f t="shared" si="2"/>
        <v>0</v>
      </c>
    </row>
    <row r="136" spans="1:5" ht="20.5" customHeight="1" x14ac:dyDescent="0.2">
      <c r="A136" s="2" t="s">
        <v>16</v>
      </c>
      <c r="B136" s="15" t="s">
        <v>5</v>
      </c>
      <c r="C136" s="43"/>
      <c r="D136" s="49">
        <v>0.05</v>
      </c>
      <c r="E136" s="46">
        <f t="shared" si="2"/>
        <v>0</v>
      </c>
    </row>
    <row r="137" spans="1:5" ht="20.5" customHeight="1" x14ac:dyDescent="0.2">
      <c r="A137" s="2" t="s">
        <v>17</v>
      </c>
      <c r="B137" s="15" t="s">
        <v>5</v>
      </c>
      <c r="C137" s="43"/>
      <c r="D137" s="49">
        <v>0.05</v>
      </c>
      <c r="E137" s="46">
        <f t="shared" si="2"/>
        <v>0</v>
      </c>
    </row>
    <row r="138" spans="1:5" ht="20.5" customHeight="1" x14ac:dyDescent="0.2">
      <c r="A138" s="2" t="s">
        <v>18</v>
      </c>
      <c r="B138" s="15" t="s">
        <v>5</v>
      </c>
      <c r="C138" s="43"/>
      <c r="D138" s="49">
        <v>0.05</v>
      </c>
      <c r="E138" s="46">
        <f t="shared" si="2"/>
        <v>0</v>
      </c>
    </row>
    <row r="139" spans="1:5" ht="20.5" customHeight="1" x14ac:dyDescent="0.2">
      <c r="A139" s="2" t="s">
        <v>19</v>
      </c>
      <c r="B139" s="15" t="s">
        <v>5</v>
      </c>
      <c r="C139" s="43"/>
      <c r="D139" s="49">
        <v>0.05</v>
      </c>
      <c r="E139" s="46">
        <f t="shared" si="2"/>
        <v>0</v>
      </c>
    </row>
    <row r="140" spans="1:5" ht="20.5" customHeight="1" x14ac:dyDescent="0.2">
      <c r="A140" s="2" t="s">
        <v>20</v>
      </c>
      <c r="B140" s="15" t="s">
        <v>5</v>
      </c>
      <c r="C140" s="43"/>
      <c r="D140" s="49">
        <v>0.08</v>
      </c>
      <c r="E140" s="46">
        <f t="shared" si="2"/>
        <v>0</v>
      </c>
    </row>
    <row r="141" spans="1:5" ht="20.5" customHeight="1" x14ac:dyDescent="0.2">
      <c r="A141" s="2" t="s">
        <v>21</v>
      </c>
      <c r="B141" s="15" t="s">
        <v>5</v>
      </c>
      <c r="C141" s="43"/>
      <c r="D141" s="49">
        <v>0.08</v>
      </c>
      <c r="E141" s="46">
        <f t="shared" si="2"/>
        <v>0</v>
      </c>
    </row>
    <row r="142" spans="1:5" ht="20.5" customHeight="1" x14ac:dyDescent="0.2">
      <c r="A142" s="2" t="s">
        <v>22</v>
      </c>
      <c r="B142" s="15" t="s">
        <v>5</v>
      </c>
      <c r="C142" s="43"/>
      <c r="D142" s="49">
        <v>0.08</v>
      </c>
      <c r="E142" s="46">
        <f t="shared" si="2"/>
        <v>0</v>
      </c>
    </row>
    <row r="143" spans="1:5" ht="20.5" customHeight="1" x14ac:dyDescent="0.2">
      <c r="A143" s="2" t="s">
        <v>23</v>
      </c>
      <c r="B143" s="15" t="s">
        <v>5</v>
      </c>
      <c r="C143" s="43"/>
      <c r="D143" s="49">
        <v>0.08</v>
      </c>
      <c r="E143" s="46">
        <f t="shared" si="2"/>
        <v>0</v>
      </c>
    </row>
    <row r="144" spans="1:5" ht="20.5" customHeight="1" x14ac:dyDescent="0.2">
      <c r="A144" s="2" t="s">
        <v>24</v>
      </c>
      <c r="B144" s="15" t="s">
        <v>5</v>
      </c>
      <c r="C144" s="43"/>
      <c r="D144" s="49">
        <v>0.08</v>
      </c>
      <c r="E144" s="46">
        <f t="shared" si="2"/>
        <v>0</v>
      </c>
    </row>
    <row r="145" spans="1:7" ht="20.5" customHeight="1" x14ac:dyDescent="0.2">
      <c r="A145" s="2" t="s">
        <v>25</v>
      </c>
      <c r="B145" s="15" t="s">
        <v>5</v>
      </c>
      <c r="C145" s="43"/>
      <c r="D145" s="49">
        <v>0.08</v>
      </c>
      <c r="E145" s="46">
        <f t="shared" si="2"/>
        <v>0</v>
      </c>
    </row>
    <row r="146" spans="1:7" ht="20.5" customHeight="1" x14ac:dyDescent="0.2">
      <c r="A146" s="2" t="s">
        <v>26</v>
      </c>
      <c r="B146" s="15" t="s">
        <v>5</v>
      </c>
      <c r="C146" s="43"/>
      <c r="D146" s="49">
        <v>0.08</v>
      </c>
      <c r="E146" s="46">
        <f t="shared" si="2"/>
        <v>0</v>
      </c>
    </row>
    <row r="147" spans="1:7" ht="20.5" customHeight="1" x14ac:dyDescent="0.2">
      <c r="A147" s="2" t="s">
        <v>27</v>
      </c>
      <c r="B147" s="15" t="s">
        <v>5</v>
      </c>
      <c r="C147" s="43"/>
      <c r="D147" s="49">
        <v>0.08</v>
      </c>
      <c r="E147" s="46">
        <f t="shared" si="2"/>
        <v>0</v>
      </c>
    </row>
    <row r="148" spans="1:7" ht="20.5" customHeight="1" x14ac:dyDescent="0.2">
      <c r="A148" s="2" t="s">
        <v>28</v>
      </c>
      <c r="B148" s="15" t="s">
        <v>5</v>
      </c>
      <c r="C148" s="43" t="s">
        <v>161</v>
      </c>
      <c r="D148" s="49">
        <v>0.08</v>
      </c>
      <c r="E148" s="46">
        <f t="shared" si="2"/>
        <v>0.4</v>
      </c>
    </row>
    <row r="149" spans="1:7" ht="20.5" customHeight="1" x14ac:dyDescent="0.2">
      <c r="A149" s="2" t="s">
        <v>29</v>
      </c>
      <c r="B149" s="15" t="s">
        <v>5</v>
      </c>
      <c r="C149" s="43"/>
      <c r="D149" s="49">
        <v>0.1</v>
      </c>
      <c r="E149" s="46">
        <f t="shared" si="2"/>
        <v>0</v>
      </c>
    </row>
    <row r="150" spans="1:7" ht="20.5" customHeight="1" x14ac:dyDescent="0.2">
      <c r="A150" s="2" t="s">
        <v>30</v>
      </c>
      <c r="B150" s="15" t="s">
        <v>5</v>
      </c>
      <c r="C150" s="43"/>
      <c r="D150" s="49">
        <v>0.12</v>
      </c>
      <c r="E150" s="46">
        <f t="shared" si="2"/>
        <v>0</v>
      </c>
    </row>
    <row r="151" spans="1:7" ht="20.5" customHeight="1" x14ac:dyDescent="0.2">
      <c r="A151" s="2" t="s">
        <v>31</v>
      </c>
      <c r="B151" s="16" t="s">
        <v>32</v>
      </c>
      <c r="C151" s="43" t="s">
        <v>162</v>
      </c>
      <c r="D151" s="49">
        <v>0.25</v>
      </c>
      <c r="E151" s="46">
        <f t="shared" si="2"/>
        <v>1</v>
      </c>
    </row>
    <row r="152" spans="1:7" ht="20.5" customHeight="1" x14ac:dyDescent="0.2">
      <c r="A152" s="2" t="s">
        <v>33</v>
      </c>
      <c r="B152" s="26" t="s">
        <v>34</v>
      </c>
      <c r="C152" s="44"/>
      <c r="D152" s="49">
        <v>0.25</v>
      </c>
      <c r="E152" s="46">
        <f t="shared" si="2"/>
        <v>0</v>
      </c>
    </row>
    <row r="153" spans="1:7" ht="20.5" customHeight="1" x14ac:dyDescent="0.2">
      <c r="A153"/>
      <c r="B153"/>
      <c r="E153" s="54">
        <f>SUM(E128:E152)</f>
        <v>1.5</v>
      </c>
    </row>
    <row r="155" spans="1:7" ht="20.5" customHeight="1" x14ac:dyDescent="0.25">
      <c r="A155" s="6" t="s">
        <v>35</v>
      </c>
      <c r="B155" s="12" t="s">
        <v>7</v>
      </c>
      <c r="C155" s="41" t="s">
        <v>2</v>
      </c>
      <c r="D155" s="47" t="s">
        <v>3</v>
      </c>
      <c r="E155" s="47" t="s">
        <v>163</v>
      </c>
    </row>
    <row r="156" spans="1:7" ht="20.5" customHeight="1" x14ac:dyDescent="0.25">
      <c r="A156" s="10"/>
      <c r="B156" s="25" t="s">
        <v>36</v>
      </c>
      <c r="C156" s="42"/>
      <c r="D156" s="48"/>
    </row>
    <row r="157" spans="1:7" ht="20.5" customHeight="1" x14ac:dyDescent="0.2">
      <c r="A157" s="2" t="s">
        <v>37</v>
      </c>
      <c r="B157" s="16" t="s">
        <v>38</v>
      </c>
      <c r="C157" s="43"/>
      <c r="D157" s="49">
        <v>0.44</v>
      </c>
      <c r="E157" s="46">
        <f>D157*C157</f>
        <v>0</v>
      </c>
    </row>
    <row r="158" spans="1:7" ht="20.5" customHeight="1" x14ac:dyDescent="0.2">
      <c r="A158" s="2" t="s">
        <v>39</v>
      </c>
      <c r="B158" s="16" t="s">
        <v>146</v>
      </c>
      <c r="C158" s="43"/>
      <c r="D158" s="49">
        <v>0.44</v>
      </c>
      <c r="E158" s="46">
        <f t="shared" ref="E158:E161" si="3">D158*C158</f>
        <v>0</v>
      </c>
      <c r="F158"/>
      <c r="G158"/>
    </row>
    <row r="159" spans="1:7" ht="20.5" customHeight="1" x14ac:dyDescent="0.2">
      <c r="A159" s="2" t="s">
        <v>40</v>
      </c>
      <c r="B159" s="16" t="s">
        <v>146</v>
      </c>
      <c r="C159" s="43" t="s">
        <v>159</v>
      </c>
      <c r="D159" s="49">
        <v>0.55000000000000004</v>
      </c>
      <c r="E159" s="46">
        <f t="shared" si="3"/>
        <v>0.55000000000000004</v>
      </c>
    </row>
    <row r="160" spans="1:7" ht="20.5" customHeight="1" x14ac:dyDescent="0.2">
      <c r="A160" s="2" t="s">
        <v>41</v>
      </c>
      <c r="B160" s="16" t="s">
        <v>146</v>
      </c>
      <c r="C160" s="43"/>
      <c r="D160" s="49">
        <v>0.55000000000000004</v>
      </c>
      <c r="E160" s="46">
        <f t="shared" si="3"/>
        <v>0</v>
      </c>
    </row>
    <row r="161" spans="1:7" ht="20.5" customHeight="1" x14ac:dyDescent="0.2">
      <c r="A161" s="2" t="s">
        <v>42</v>
      </c>
      <c r="B161" s="16" t="s">
        <v>146</v>
      </c>
      <c r="C161" s="43"/>
      <c r="D161" s="49">
        <v>0.44</v>
      </c>
      <c r="E161" s="46">
        <f t="shared" si="3"/>
        <v>0</v>
      </c>
    </row>
    <row r="162" spans="1:7" ht="20.5" customHeight="1" x14ac:dyDescent="0.2">
      <c r="E162" s="54">
        <v>0.55000000000000004</v>
      </c>
    </row>
    <row r="164" spans="1:7" ht="20.5" customHeight="1" x14ac:dyDescent="0.25">
      <c r="A164" s="6" t="s">
        <v>43</v>
      </c>
      <c r="B164" s="12" t="s">
        <v>7</v>
      </c>
      <c r="C164" s="41" t="s">
        <v>2</v>
      </c>
      <c r="D164" s="47" t="s">
        <v>3</v>
      </c>
      <c r="E164" s="47" t="s">
        <v>163</v>
      </c>
    </row>
    <row r="165" spans="1:7" ht="20.5" customHeight="1" x14ac:dyDescent="0.25">
      <c r="A165" s="10"/>
      <c r="B165" s="13"/>
      <c r="C165" s="42"/>
      <c r="D165" s="48"/>
    </row>
    <row r="166" spans="1:7" ht="20.5" customHeight="1" x14ac:dyDescent="0.2">
      <c r="A166" s="2" t="s">
        <v>44</v>
      </c>
      <c r="B166" s="2" t="s">
        <v>45</v>
      </c>
      <c r="C166" s="43"/>
      <c r="D166" s="49">
        <v>0.2</v>
      </c>
      <c r="E166" s="46">
        <f>C166*D166</f>
        <v>0</v>
      </c>
      <c r="G166" s="28"/>
    </row>
    <row r="167" spans="1:7" ht="20.5" customHeight="1" x14ac:dyDescent="0.2">
      <c r="A167" s="2" t="s">
        <v>46</v>
      </c>
      <c r="B167" s="2" t="s">
        <v>45</v>
      </c>
      <c r="C167" s="43" t="s">
        <v>159</v>
      </c>
      <c r="D167" s="49">
        <v>0.45</v>
      </c>
      <c r="E167" s="46">
        <f t="shared" ref="E167:E170" si="4">C167*D167</f>
        <v>0.45</v>
      </c>
      <c r="G167" s="28"/>
    </row>
    <row r="168" spans="1:7" ht="20.5" customHeight="1" x14ac:dyDescent="0.2">
      <c r="A168" s="2" t="s">
        <v>47</v>
      </c>
      <c r="B168" s="2" t="s">
        <v>45</v>
      </c>
      <c r="C168" s="43"/>
      <c r="D168" s="49">
        <v>0.36</v>
      </c>
      <c r="E168" s="46">
        <f t="shared" si="4"/>
        <v>0</v>
      </c>
    </row>
    <row r="169" spans="1:7" ht="20.5" customHeight="1" x14ac:dyDescent="0.2">
      <c r="A169" s="1" t="s">
        <v>48</v>
      </c>
      <c r="B169" s="2" t="s">
        <v>45</v>
      </c>
      <c r="C169" s="43"/>
      <c r="D169" s="49">
        <v>0.33</v>
      </c>
      <c r="E169" s="46">
        <f t="shared" si="4"/>
        <v>0</v>
      </c>
    </row>
    <row r="170" spans="1:7" ht="20.5" customHeight="1" x14ac:dyDescent="0.2">
      <c r="A170" s="2" t="s">
        <v>49</v>
      </c>
      <c r="B170" s="2" t="s">
        <v>50</v>
      </c>
      <c r="C170" s="44"/>
      <c r="D170" s="49">
        <v>0.2</v>
      </c>
      <c r="E170" s="46">
        <f t="shared" si="4"/>
        <v>0</v>
      </c>
      <c r="G170" s="28"/>
    </row>
    <row r="171" spans="1:7" ht="20.5" customHeight="1" x14ac:dyDescent="0.2">
      <c r="E171" s="54">
        <f>SUM(E166:E170)</f>
        <v>0.45</v>
      </c>
    </row>
    <row r="173" spans="1:7" ht="20.5" customHeight="1" x14ac:dyDescent="0.25">
      <c r="A173" s="6" t="s">
        <v>51</v>
      </c>
      <c r="B173" s="12" t="s">
        <v>7</v>
      </c>
      <c r="C173" s="41" t="s">
        <v>2</v>
      </c>
      <c r="D173" s="47" t="s">
        <v>3</v>
      </c>
      <c r="E173" s="47" t="s">
        <v>163</v>
      </c>
    </row>
    <row r="174" spans="1:7" ht="20.5" customHeight="1" x14ac:dyDescent="0.25">
      <c r="A174" s="10"/>
      <c r="B174"/>
      <c r="C174" s="42"/>
      <c r="D174" s="48"/>
    </row>
    <row r="175" spans="1:7" ht="20.5" customHeight="1" x14ac:dyDescent="0.2">
      <c r="A175" s="2" t="s">
        <v>52</v>
      </c>
      <c r="B175" s="15" t="s">
        <v>5</v>
      </c>
      <c r="C175" s="43"/>
      <c r="D175" s="49">
        <v>0.12</v>
      </c>
      <c r="E175" s="46">
        <f>C175*D175</f>
        <v>0</v>
      </c>
      <c r="G175" s="29"/>
    </row>
    <row r="176" spans="1:7" ht="20.5" customHeight="1" x14ac:dyDescent="0.2">
      <c r="A176" s="2" t="s">
        <v>53</v>
      </c>
      <c r="B176" s="15" t="s">
        <v>5</v>
      </c>
      <c r="C176" s="43"/>
      <c r="D176" s="49">
        <v>0.12</v>
      </c>
      <c r="E176" s="46">
        <f>C176*D176</f>
        <v>0</v>
      </c>
      <c r="G176" s="29"/>
    </row>
    <row r="177" spans="1:11" ht="20.5" customHeight="1" x14ac:dyDescent="0.2">
      <c r="A177"/>
      <c r="B177"/>
      <c r="C177" s="37"/>
      <c r="D177" s="50"/>
      <c r="E177" s="46">
        <f>SUM(E175:E176)</f>
        <v>0</v>
      </c>
    </row>
    <row r="178" spans="1:11" ht="20.5" customHeight="1" x14ac:dyDescent="0.2">
      <c r="A178"/>
      <c r="B178"/>
      <c r="C178" s="38"/>
      <c r="D178" s="51"/>
    </row>
    <row r="179" spans="1:11" ht="20.5" customHeight="1" x14ac:dyDescent="0.25">
      <c r="A179" s="7" t="s">
        <v>54</v>
      </c>
      <c r="B179" s="17" t="s">
        <v>7</v>
      </c>
      <c r="C179" s="41" t="s">
        <v>2</v>
      </c>
      <c r="D179" s="47" t="s">
        <v>3</v>
      </c>
      <c r="E179" s="47" t="s">
        <v>163</v>
      </c>
    </row>
    <row r="180" spans="1:11" ht="20.5" customHeight="1" x14ac:dyDescent="0.2">
      <c r="A180" s="8"/>
      <c r="B180" s="18"/>
      <c r="C180" s="42"/>
      <c r="D180" s="48"/>
    </row>
    <row r="181" spans="1:11" ht="20.5" customHeight="1" x14ac:dyDescent="0.25">
      <c r="A181" s="11" t="s">
        <v>55</v>
      </c>
      <c r="B181" s="19"/>
      <c r="C181" s="45"/>
      <c r="D181" s="49"/>
    </row>
    <row r="182" spans="1:11" ht="20.5" customHeight="1" x14ac:dyDescent="0.2">
      <c r="A182" s="9" t="s">
        <v>56</v>
      </c>
      <c r="B182" s="20"/>
      <c r="C182" s="45"/>
      <c r="D182" s="49"/>
    </row>
    <row r="183" spans="1:11" ht="20.5" customHeight="1" x14ac:dyDescent="0.2">
      <c r="A183" s="2" t="s">
        <v>57</v>
      </c>
      <c r="B183" s="15" t="s">
        <v>58</v>
      </c>
      <c r="C183" s="43"/>
      <c r="D183" s="49">
        <v>0.2</v>
      </c>
      <c r="E183" s="46">
        <f>C183*D183</f>
        <v>0</v>
      </c>
      <c r="G183" s="29"/>
    </row>
    <row r="184" spans="1:11" ht="20.5" customHeight="1" x14ac:dyDescent="0.2">
      <c r="A184" s="4" t="s">
        <v>59</v>
      </c>
      <c r="B184" s="21"/>
      <c r="C184" s="45"/>
      <c r="D184" s="49"/>
      <c r="E184" s="46">
        <f t="shared" ref="E184:E190" si="5">C184*D184</f>
        <v>0</v>
      </c>
    </row>
    <row r="185" spans="1:11" ht="20.5" customHeight="1" x14ac:dyDescent="0.2">
      <c r="A185" s="2" t="s">
        <v>60</v>
      </c>
      <c r="B185" s="15" t="s">
        <v>58</v>
      </c>
      <c r="C185" s="43"/>
      <c r="D185" s="49">
        <v>0.19</v>
      </c>
      <c r="E185" s="46">
        <f t="shared" si="5"/>
        <v>0</v>
      </c>
      <c r="G185" s="29"/>
    </row>
    <row r="186" spans="1:11" ht="20.5" customHeight="1" x14ac:dyDescent="0.2">
      <c r="A186" s="3"/>
      <c r="B186" s="22"/>
      <c r="C186" s="45"/>
      <c r="D186" s="49"/>
      <c r="E186" s="46">
        <f t="shared" si="5"/>
        <v>0</v>
      </c>
    </row>
    <row r="187" spans="1:11" ht="20.5" customHeight="1" x14ac:dyDescent="0.25">
      <c r="A187" s="11" t="s">
        <v>61</v>
      </c>
      <c r="B187" s="19"/>
      <c r="C187" s="45"/>
      <c r="D187" s="49"/>
      <c r="E187" s="46">
        <f t="shared" si="5"/>
        <v>0</v>
      </c>
    </row>
    <row r="188" spans="1:11" ht="20.5" customHeight="1" x14ac:dyDescent="0.2">
      <c r="A188" s="9" t="s">
        <v>147</v>
      </c>
      <c r="B188" s="20"/>
      <c r="C188" s="45"/>
      <c r="D188" s="49"/>
      <c r="E188" s="46">
        <f t="shared" si="5"/>
        <v>0</v>
      </c>
    </row>
    <row r="189" spans="1:11" ht="20.5" customHeight="1" x14ac:dyDescent="0.2">
      <c r="A189" s="2" t="s">
        <v>62</v>
      </c>
      <c r="B189" s="22" t="s">
        <v>63</v>
      </c>
      <c r="C189" s="43"/>
      <c r="D189" s="49">
        <v>0.39</v>
      </c>
      <c r="E189" s="46">
        <f t="shared" si="5"/>
        <v>0</v>
      </c>
      <c r="F189"/>
      <c r="G189"/>
      <c r="I189"/>
      <c r="J189"/>
      <c r="K189"/>
    </row>
    <row r="190" spans="1:11" ht="20.5" customHeight="1" x14ac:dyDescent="0.2">
      <c r="C190" s="37"/>
      <c r="D190" s="50"/>
      <c r="E190" s="46">
        <f t="shared" si="5"/>
        <v>0</v>
      </c>
    </row>
    <row r="191" spans="1:11" ht="20.5" customHeight="1" x14ac:dyDescent="0.2">
      <c r="C191" s="38"/>
      <c r="D191" s="51"/>
    </row>
    <row r="192" spans="1:11" ht="20.5" customHeight="1" x14ac:dyDescent="0.25">
      <c r="A192" s="6" t="s">
        <v>152</v>
      </c>
      <c r="B192" s="12" t="s">
        <v>7</v>
      </c>
      <c r="C192" s="41" t="s">
        <v>2</v>
      </c>
      <c r="D192" s="47" t="s">
        <v>3</v>
      </c>
      <c r="E192" s="47" t="s">
        <v>163</v>
      </c>
    </row>
    <row r="193" spans="1:5" ht="20.5" customHeight="1" x14ac:dyDescent="0.2">
      <c r="A193" s="5"/>
      <c r="B193" s="23"/>
      <c r="C193" s="42"/>
      <c r="D193" s="48"/>
    </row>
    <row r="194" spans="1:5" ht="20.5" customHeight="1" x14ac:dyDescent="0.2">
      <c r="A194" s="2" t="s">
        <v>149</v>
      </c>
      <c r="B194" s="22" t="s">
        <v>63</v>
      </c>
      <c r="C194" s="43"/>
      <c r="D194" s="49">
        <v>0.56000000000000005</v>
      </c>
      <c r="E194" s="46">
        <f>C194*D194</f>
        <v>0</v>
      </c>
    </row>
    <row r="195" spans="1:5" ht="20.5" customHeight="1" x14ac:dyDescent="0.2">
      <c r="A195" s="3" t="s">
        <v>148</v>
      </c>
      <c r="B195" s="3" t="s">
        <v>63</v>
      </c>
      <c r="C195" s="44"/>
      <c r="D195" s="49">
        <v>0.69</v>
      </c>
      <c r="E195" s="46">
        <f t="shared" ref="E195:E203" si="6">C195*D195</f>
        <v>0</v>
      </c>
    </row>
    <row r="196" spans="1:5" ht="20.5" customHeight="1" x14ac:dyDescent="0.2">
      <c r="A196" s="3" t="s">
        <v>64</v>
      </c>
      <c r="B196" s="22" t="s">
        <v>63</v>
      </c>
      <c r="C196" s="43"/>
      <c r="D196" s="49">
        <v>1.1299999999999999</v>
      </c>
      <c r="E196" s="46">
        <f t="shared" si="6"/>
        <v>0</v>
      </c>
    </row>
    <row r="197" spans="1:5" ht="20.5" customHeight="1" x14ac:dyDescent="0.2">
      <c r="A197" s="3" t="s">
        <v>65</v>
      </c>
      <c r="B197" s="22" t="s">
        <v>63</v>
      </c>
      <c r="C197" s="43"/>
      <c r="D197" s="49">
        <v>1.0900000000000001</v>
      </c>
      <c r="E197" s="46">
        <f t="shared" si="6"/>
        <v>0</v>
      </c>
    </row>
    <row r="198" spans="1:5" ht="20.5" customHeight="1" x14ac:dyDescent="0.2">
      <c r="A198" s="3" t="s">
        <v>66</v>
      </c>
      <c r="B198" s="22" t="s">
        <v>67</v>
      </c>
      <c r="C198" s="43" t="s">
        <v>160</v>
      </c>
      <c r="D198" s="49">
        <v>0.68</v>
      </c>
      <c r="E198" s="46">
        <f t="shared" si="6"/>
        <v>1.36</v>
      </c>
    </row>
    <row r="199" spans="1:5" ht="20.5" customHeight="1" x14ac:dyDescent="0.2">
      <c r="A199" s="3" t="s">
        <v>68</v>
      </c>
      <c r="B199" s="22" t="s">
        <v>69</v>
      </c>
      <c r="C199" s="43"/>
      <c r="D199" s="49">
        <v>0.32</v>
      </c>
      <c r="E199" s="46">
        <f t="shared" si="6"/>
        <v>0</v>
      </c>
    </row>
    <row r="200" spans="1:5" ht="20.5" customHeight="1" x14ac:dyDescent="0.2">
      <c r="A200" s="3" t="s">
        <v>70</v>
      </c>
      <c r="B200" s="22" t="s">
        <v>69</v>
      </c>
      <c r="C200" s="43"/>
      <c r="D200" s="49">
        <v>0.39</v>
      </c>
      <c r="E200" s="46">
        <f t="shared" si="6"/>
        <v>0</v>
      </c>
    </row>
    <row r="201" spans="1:5" ht="20.5" customHeight="1" x14ac:dyDescent="0.2">
      <c r="A201" s="3" t="s">
        <v>156</v>
      </c>
      <c r="B201" s="3" t="s">
        <v>151</v>
      </c>
      <c r="C201" s="44"/>
      <c r="D201" s="49">
        <v>0.66</v>
      </c>
      <c r="E201" s="46">
        <f t="shared" si="6"/>
        <v>0</v>
      </c>
    </row>
    <row r="202" spans="1:5" ht="20.5" customHeight="1" x14ac:dyDescent="0.2">
      <c r="A202" s="3" t="s">
        <v>157</v>
      </c>
      <c r="B202" s="3" t="s">
        <v>151</v>
      </c>
      <c r="C202" s="44"/>
      <c r="D202" s="49">
        <v>0.83</v>
      </c>
      <c r="E202" s="46">
        <f t="shared" si="6"/>
        <v>0</v>
      </c>
    </row>
    <row r="203" spans="1:5" ht="20.5" customHeight="1" x14ac:dyDescent="0.2">
      <c r="A203" s="3" t="s">
        <v>158</v>
      </c>
      <c r="B203" s="3" t="s">
        <v>153</v>
      </c>
      <c r="C203" s="44"/>
      <c r="D203" s="49">
        <v>1.97</v>
      </c>
      <c r="E203" s="46">
        <f t="shared" si="6"/>
        <v>0</v>
      </c>
    </row>
    <row r="204" spans="1:5" ht="20.5" customHeight="1" x14ac:dyDescent="0.2">
      <c r="E204" s="54">
        <f>SUM(E194:E203)</f>
        <v>1.36</v>
      </c>
    </row>
    <row r="206" spans="1:5" ht="20.5" customHeight="1" x14ac:dyDescent="0.25">
      <c r="A206" s="27" t="s">
        <v>71</v>
      </c>
      <c r="B206" s="3"/>
      <c r="C206" s="39" t="s">
        <v>2</v>
      </c>
      <c r="D206" s="52" t="s">
        <v>3</v>
      </c>
      <c r="E206" s="47" t="s">
        <v>163</v>
      </c>
    </row>
    <row r="207" spans="1:5" ht="20.5" customHeight="1" x14ac:dyDescent="0.2">
      <c r="A207" s="3"/>
      <c r="B207" s="3"/>
      <c r="C207" s="36"/>
      <c r="D207" s="49"/>
    </row>
    <row r="208" spans="1:5" ht="20.5" customHeight="1" x14ac:dyDescent="0.2">
      <c r="A208" s="3" t="s">
        <v>72</v>
      </c>
      <c r="B208" s="26" t="s">
        <v>155</v>
      </c>
      <c r="C208" s="44">
        <v>1</v>
      </c>
      <c r="D208" s="49">
        <v>0.43</v>
      </c>
      <c r="E208">
        <f>D208*C208</f>
        <v>0.43</v>
      </c>
    </row>
    <row r="209" spans="3:5" customFormat="1" ht="20.5" customHeight="1" x14ac:dyDescent="0.2">
      <c r="C209" s="35"/>
      <c r="D209" s="46"/>
      <c r="E209" s="54">
        <f>SUM(E208)</f>
        <v>0.43</v>
      </c>
    </row>
    <row r="211" spans="3:5" ht="20.5" customHeight="1" x14ac:dyDescent="0.2">
      <c r="D211" s="53" t="s">
        <v>164</v>
      </c>
      <c r="E211" s="53">
        <v>4.3899999999999997</v>
      </c>
    </row>
  </sheetData>
  <phoneticPr fontId="13" type="noConversion"/>
  <hyperlinks>
    <hyperlink ref="B151" r:id="rId1" xr:uid="{0EB3CCC3-BC25-4927-B5A8-7A67E710BC3C}"/>
    <hyperlink ref="B152" r:id="rId2" xr:uid="{2A3934F2-C46D-49F9-86F6-2CC123914463}"/>
    <hyperlink ref="B157" r:id="rId3" xr:uid="{B11A681B-9D31-4658-8C12-E93857F04CD8}"/>
    <hyperlink ref="B208" r:id="rId4" display="Connector-header-6pos-2-54mm-1row" xr:uid="{205C8CBA-EEFF-4459-A3DE-30F99E524FE2}"/>
  </hyperlinks>
  <pageMargins left="0.7" right="0.7" top="0.75" bottom="0.75" header="0.3" footer="0.3"/>
  <pageSetup paperSize="9" orientation="portrait" verticalDpi="180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675E21CEB6947874B696390DB8600" ma:contentTypeVersion="14" ma:contentTypeDescription="Create a new document." ma:contentTypeScope="" ma:versionID="386eec9a21068cc07a2adc9a6f44d95c">
  <xsd:schema xmlns:xsd="http://www.w3.org/2001/XMLSchema" xmlns:xs="http://www.w3.org/2001/XMLSchema" xmlns:p="http://schemas.microsoft.com/office/2006/metadata/properties" xmlns:ns3="202bafab-2fec-4223-b48f-575774eae2a8" xmlns:ns4="3164bd01-03ba-4440-9180-e2fbbdcbb452" targetNamespace="http://schemas.microsoft.com/office/2006/metadata/properties" ma:root="true" ma:fieldsID="7473f229caec39916280cd4b2d2c8528" ns3:_="" ns4:_="">
    <xsd:import namespace="202bafab-2fec-4223-b48f-575774eae2a8"/>
    <xsd:import namespace="3164bd01-03ba-4440-9180-e2fbbdcbb4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bafab-2fec-4223-b48f-575774eae2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4bd01-03ba-4440-9180-e2fbbdcbb4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26BABC-0CD3-491A-97B1-F515E23AA4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7B8B08-7D24-46DB-8388-9D39445DB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bafab-2fec-4223-b48f-575774eae2a8"/>
    <ds:schemaRef ds:uri="3164bd01-03ba-4440-9180-e2fbbdcbb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990E61-E368-4775-8D62-997C9BE8C9D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202bafab-2fec-4223-b48f-575774eae2a8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3164bd01-03ba-4440-9180-e2fbbdcbb45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 for PCB_A</vt:lpstr>
      <vt:lpstr>Components for PCB_B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Moss</dc:creator>
  <cp:keywords/>
  <dc:description/>
  <cp:lastModifiedBy>Kwon, Minjae</cp:lastModifiedBy>
  <cp:revision/>
  <dcterms:created xsi:type="dcterms:W3CDTF">2017-10-31T10:48:12Z</dcterms:created>
  <dcterms:modified xsi:type="dcterms:W3CDTF">2025-12-01T11:49:06Z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0x01010018D675E21CEB6947874B696390DB8600</vt:lpwstr>
  </property>
</Properties>
</file>